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ocuments\GitHub\CAR_DATA_ANAL\CMS_BULGARIA_2026\"/>
    </mc:Choice>
  </mc:AlternateContent>
  <xr:revisionPtr revIDLastSave="0" documentId="13_ncr:1_{E7019E4D-727B-4A9D-8952-DB84BCD6514B}" xr6:coauthVersionLast="36" xr6:coauthVersionMax="36" xr10:uidLastSave="{00000000-0000-0000-0000-000000000000}"/>
  <bookViews>
    <workbookView xWindow="0" yWindow="0" windowWidth="21552" windowHeight="8532" tabRatio="825" activeTab="3" xr2:uid="{9DB20544-2FA2-4069-A9E4-A2DFFD95EE6D}"/>
  </bookViews>
  <sheets>
    <sheet name="Involvment_pressure_pre_2023" sheetId="1" r:id="rId1"/>
    <sheet name="rent-seeking sucept" sheetId="2" r:id="rId2"/>
    <sheet name="Acceptability_tolerance" sheetId="3" r:id="rId3"/>
    <sheet name="likelihood_of_corruption_press" sheetId="4" r:id="rId4"/>
    <sheet name="corruptness_of_official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0" i="1" l="1"/>
  <c r="V21" i="1"/>
  <c r="H20" i="2" l="1"/>
</calcChain>
</file>

<file path=xl/sharedStrings.xml><?xml version="1.0" encoding="utf-8"?>
<sst xmlns="http://schemas.openxmlformats.org/spreadsheetml/2006/main" count="238" uniqueCount="83">
  <si>
    <t>Year</t>
  </si>
  <si>
    <t>Involvement (%)</t>
  </si>
  <si>
    <t>Pressure (%)</t>
  </si>
  <si>
    <t/>
  </si>
  <si>
    <t>Involvement in corruption</t>
  </si>
  <si>
    <t>Frequency</t>
  </si>
  <si>
    <t>Percent</t>
  </si>
  <si>
    <t>Valid Percent</t>
  </si>
  <si>
    <t>Cumulative Percent</t>
  </si>
  <si>
    <t>Valid</t>
  </si>
  <si>
    <t>Did not give bribe</t>
  </si>
  <si>
    <t>Gave bribe</t>
  </si>
  <si>
    <t>DK/NA</t>
  </si>
  <si>
    <t>No contact with admin</t>
  </si>
  <si>
    <t>Total</t>
  </si>
  <si>
    <t>Missing</t>
  </si>
  <si>
    <t>Experience with corruption pressure</t>
  </si>
  <si>
    <t>No corruption pressure</t>
  </si>
  <si>
    <t>Experienced corruption pressure</t>
  </si>
  <si>
    <t>No contact with administration</t>
  </si>
  <si>
    <t>skl - 2016</t>
  </si>
  <si>
    <t>Susceptible to corruption</t>
  </si>
  <si>
    <t>Not susceptible to corruption</t>
  </si>
  <si>
    <t>Mixed behavior</t>
  </si>
  <si>
    <t>System</t>
  </si>
  <si>
    <t>skl</t>
  </si>
  <si>
    <t>Susceptability to corruption</t>
  </si>
  <si>
    <t>Acceptability (tolerance) of corrupt behaviour</t>
  </si>
  <si>
    <t>Tolerance of corruption practices (Acceptability)</t>
  </si>
  <si>
    <t>Do not accept corrupt behavior</t>
  </si>
  <si>
    <t>Accept corrupt behavior</t>
  </si>
  <si>
    <t>High likelihood</t>
  </si>
  <si>
    <t>Low likelihood</t>
  </si>
  <si>
    <t>likelihood of corruption pressure</t>
  </si>
  <si>
    <t>Corruptness of officials</t>
  </si>
  <si>
    <t>Descriptive Statistics</t>
  </si>
  <si>
    <t>N</t>
  </si>
  <si>
    <t>Minimum</t>
  </si>
  <si>
    <t>Maximum</t>
  </si>
  <si>
    <t>Mean</t>
  </si>
  <si>
    <t>General corruption perception index (inverted A4 scale, 1-4)</t>
  </si>
  <si>
    <t>Valid N (listwise)</t>
  </si>
  <si>
    <t>Descriptive Statistics - 2014</t>
  </si>
  <si>
    <t>Std. Deviation</t>
  </si>
  <si>
    <t>A4N Members of parliament (inverted)</t>
  </si>
  <si>
    <t>political_elite</t>
  </si>
  <si>
    <t>A4L Customs officers (inverted)</t>
  </si>
  <si>
    <t>A4O Ministers (inverted)</t>
  </si>
  <si>
    <t>A4D Officials at ministries (inverted)</t>
  </si>
  <si>
    <t>1,00</t>
  </si>
  <si>
    <t>2,00</t>
  </si>
  <si>
    <t>Political elite (old: MPs + Ministers)</t>
  </si>
  <si>
    <t>Descriptive Statistics - 2025 legacy</t>
  </si>
  <si>
    <t>Political elite (MPs, ministers, party and local political leaders)</t>
  </si>
  <si>
    <t>Central administration (ministries, state agencies)</t>
  </si>
  <si>
    <t>Local administration (municipal officials, municipal councilors)</t>
  </si>
  <si>
    <t>Judiciary (judicial administration, judges, prosecutors, investigators)</t>
  </si>
  <si>
    <t>Enforcement and revenue agencies (police, customs, tax)</t>
  </si>
  <si>
    <t>Professional groups (lawyers, doctors, bankers)</t>
  </si>
  <si>
    <t>Education and knowledge actors (journalists, teachers, university officials)</t>
  </si>
  <si>
    <t>Business people</t>
  </si>
  <si>
    <t>NGO representatives</t>
  </si>
  <si>
    <t>Likelihood of corruption pressure 2025</t>
  </si>
  <si>
    <t>Tolerance of corruption practices (Acceptability) 2025</t>
  </si>
  <si>
    <t>Likelihood of corruption pressure -2014</t>
  </si>
  <si>
    <t>Descriptive Statistics -2025 new</t>
  </si>
  <si>
    <t>Specific</t>
  </si>
  <si>
    <t>MPs + Ministers</t>
  </si>
  <si>
    <t xml:space="preserve">Customs officers </t>
  </si>
  <si>
    <t xml:space="preserve">Ministers </t>
  </si>
  <si>
    <t xml:space="preserve">Officials at ministries </t>
  </si>
  <si>
    <t>MPs, ministers, party and local political leaders</t>
  </si>
  <si>
    <t>ministries, state agencies</t>
  </si>
  <si>
    <t>municipal officials, municipal councilors</t>
  </si>
  <si>
    <t>judicial administration, judges, prosecutors, investigators</t>
  </si>
  <si>
    <t>police, customs, tax</t>
  </si>
  <si>
    <t>lawyers, doctors, bankers</t>
  </si>
  <si>
    <t>journalists, teachers, university officials</t>
  </si>
  <si>
    <t xml:space="preserve">Members of parliament </t>
  </si>
  <si>
    <t>Average levels</t>
  </si>
  <si>
    <t>Involvement in corruption = 2014</t>
  </si>
  <si>
    <t>Experience with corruption pressure = 2014</t>
  </si>
  <si>
    <t>Experience with corruption pressure (user defined missing as in 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</si>
</sst>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###0.0"/>
    <numFmt numFmtId="166" formatCode="###0.00"/>
    <numFmt numFmtId="167" formatCode="###0.0000"/>
    <numFmt numFmtId="168" formatCode="###0.0000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sz val="10"/>
      <name val="Arial"/>
      <family val="2"/>
      <charset val="204"/>
    </font>
    <font>
      <sz val="9"/>
      <color indexed="62"/>
      <name val="Arial"/>
      <family val="2"/>
      <charset val="204"/>
    </font>
    <font>
      <sz val="9"/>
      <color indexed="60"/>
      <name val="Arial"/>
      <family val="2"/>
      <charset val="204"/>
    </font>
    <font>
      <sz val="9"/>
      <color rgb="FFFF0000"/>
      <name val="Arial"/>
      <family val="2"/>
      <charset val="204"/>
    </font>
    <font>
      <sz val="11"/>
      <color rgb="FF92D050"/>
      <name val="Calibri"/>
      <family val="2"/>
      <charset val="204"/>
      <scheme val="minor"/>
    </font>
    <font>
      <sz val="9"/>
      <color rgb="FF92D05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63">
    <xf numFmtId="0" fontId="0" fillId="0" borderId="0" xfId="0"/>
    <xf numFmtId="2" fontId="0" fillId="0" borderId="0" xfId="0" applyNumberFormat="1"/>
    <xf numFmtId="0" fontId="0" fillId="0" borderId="0" xfId="0" applyNumberFormat="1"/>
    <xf numFmtId="0" fontId="1" fillId="0" borderId="0" xfId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5" xfId="1" applyFont="1" applyFill="1" applyBorder="1" applyAlignment="1">
      <alignment horizontal="left" vertical="top" wrapText="1"/>
    </xf>
    <xf numFmtId="164" fontId="4" fillId="0" borderId="6" xfId="1" applyNumberFormat="1" applyFont="1" applyBorder="1" applyAlignment="1">
      <alignment horizontal="right" vertical="top"/>
    </xf>
    <xf numFmtId="165" fontId="4" fillId="0" borderId="7" xfId="1" applyNumberFormat="1" applyFont="1" applyBorder="1" applyAlignment="1">
      <alignment horizontal="right" vertical="top"/>
    </xf>
    <xf numFmtId="165" fontId="4" fillId="0" borderId="8" xfId="1" applyNumberFormat="1" applyFont="1" applyBorder="1" applyAlignment="1">
      <alignment horizontal="right" vertical="top"/>
    </xf>
    <xf numFmtId="0" fontId="3" fillId="2" borderId="9" xfId="1" applyFont="1" applyFill="1" applyBorder="1" applyAlignment="1">
      <alignment horizontal="left" vertical="top" wrapText="1"/>
    </xf>
    <xf numFmtId="164" fontId="4" fillId="0" borderId="10" xfId="1" applyNumberFormat="1" applyFont="1" applyBorder="1" applyAlignment="1">
      <alignment horizontal="right" vertical="top"/>
    </xf>
    <xf numFmtId="165" fontId="4" fillId="0" borderId="11" xfId="1" applyNumberFormat="1" applyFont="1" applyBorder="1" applyAlignment="1">
      <alignment horizontal="right" vertical="top"/>
    </xf>
    <xf numFmtId="165" fontId="4" fillId="0" borderId="12" xfId="1" applyNumberFormat="1" applyFont="1" applyBorder="1" applyAlignment="1">
      <alignment horizontal="right" vertical="top"/>
    </xf>
    <xf numFmtId="0" fontId="3" fillId="2" borderId="13" xfId="1" applyFont="1" applyFill="1" applyBorder="1" applyAlignment="1">
      <alignment horizontal="left" vertical="top" wrapText="1"/>
    </xf>
    <xf numFmtId="164" fontId="4" fillId="0" borderId="14" xfId="1" applyNumberFormat="1" applyFont="1" applyBorder="1" applyAlignment="1">
      <alignment horizontal="right" vertical="top"/>
    </xf>
    <xf numFmtId="165" fontId="4" fillId="0" borderId="15" xfId="1" applyNumberFormat="1" applyFont="1" applyBorder="1" applyAlignment="1">
      <alignment horizontal="right" vertical="top"/>
    </xf>
    <xf numFmtId="0" fontId="4" fillId="0" borderId="16" xfId="1" applyFont="1" applyBorder="1" applyAlignment="1">
      <alignment horizontal="left" vertical="top" wrapText="1"/>
    </xf>
    <xf numFmtId="0" fontId="3" fillId="3" borderId="9" xfId="1" applyFont="1" applyFill="1" applyBorder="1" applyAlignment="1">
      <alignment horizontal="left" vertical="top" wrapText="1"/>
    </xf>
    <xf numFmtId="164" fontId="4" fillId="3" borderId="10" xfId="1" applyNumberFormat="1" applyFont="1" applyFill="1" applyBorder="1" applyAlignment="1">
      <alignment horizontal="right" vertical="top"/>
    </xf>
    <xf numFmtId="165" fontId="4" fillId="3" borderId="11" xfId="1" applyNumberFormat="1" applyFont="1" applyFill="1" applyBorder="1" applyAlignment="1">
      <alignment horizontal="right" vertical="top"/>
    </xf>
    <xf numFmtId="0" fontId="4" fillId="0" borderId="12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top" wrapText="1"/>
    </xf>
    <xf numFmtId="164" fontId="4" fillId="0" borderId="0" xfId="1" applyNumberFormat="1" applyFont="1" applyBorder="1" applyAlignment="1">
      <alignment horizontal="right" vertical="top"/>
    </xf>
    <xf numFmtId="165" fontId="4" fillId="0" borderId="0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left" vertical="top" wrapText="1"/>
    </xf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2" borderId="5" xfId="2" applyFont="1" applyFill="1" applyBorder="1" applyAlignment="1">
      <alignment horizontal="left" vertical="top" wrapText="1"/>
    </xf>
    <xf numFmtId="164" fontId="4" fillId="0" borderId="6" xfId="2" applyNumberFormat="1" applyFont="1" applyBorder="1" applyAlignment="1">
      <alignment horizontal="right" vertical="top"/>
    </xf>
    <xf numFmtId="165" fontId="4" fillId="0" borderId="7" xfId="2" applyNumberFormat="1" applyFont="1" applyBorder="1" applyAlignment="1">
      <alignment horizontal="right" vertical="top"/>
    </xf>
    <xf numFmtId="165" fontId="4" fillId="3" borderId="7" xfId="2" applyNumberFormat="1" applyFont="1" applyFill="1" applyBorder="1" applyAlignment="1">
      <alignment horizontal="right" vertical="top"/>
    </xf>
    <xf numFmtId="165" fontId="4" fillId="0" borderId="8" xfId="2" applyNumberFormat="1" applyFont="1" applyBorder="1" applyAlignment="1">
      <alignment horizontal="right" vertical="top"/>
    </xf>
    <xf numFmtId="0" fontId="3" fillId="2" borderId="9" xfId="2" applyFont="1" applyFill="1" applyBorder="1" applyAlignment="1">
      <alignment horizontal="left" vertical="top" wrapText="1"/>
    </xf>
    <xf numFmtId="164" fontId="4" fillId="0" borderId="10" xfId="2" applyNumberFormat="1" applyFont="1" applyBorder="1" applyAlignment="1">
      <alignment horizontal="right" vertical="top"/>
    </xf>
    <xf numFmtId="165" fontId="4" fillId="0" borderId="11" xfId="2" applyNumberFormat="1" applyFont="1" applyBorder="1" applyAlignment="1">
      <alignment horizontal="right" vertical="top"/>
    </xf>
    <xf numFmtId="165" fontId="4" fillId="0" borderId="12" xfId="2" applyNumberFormat="1" applyFont="1" applyBorder="1" applyAlignment="1">
      <alignment horizontal="right" vertical="top"/>
    </xf>
    <xf numFmtId="0" fontId="4" fillId="0" borderId="12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4" fontId="4" fillId="0" borderId="14" xfId="2" applyNumberFormat="1" applyFont="1" applyBorder="1" applyAlignment="1">
      <alignment horizontal="right" vertical="top"/>
    </xf>
    <xf numFmtId="165" fontId="4" fillId="0" borderId="15" xfId="2" applyNumberFormat="1" applyFont="1" applyBorder="1" applyAlignment="1">
      <alignment horizontal="right" vertical="top"/>
    </xf>
    <xf numFmtId="0" fontId="4" fillId="0" borderId="15" xfId="2" applyFont="1" applyBorder="1" applyAlignment="1">
      <alignment horizontal="left" vertical="top" wrapText="1"/>
    </xf>
    <xf numFmtId="0" fontId="4" fillId="0" borderId="16" xfId="2" applyFont="1" applyBorder="1" applyAlignment="1">
      <alignment horizontal="left" vertical="top" wrapText="1"/>
    </xf>
    <xf numFmtId="0" fontId="1" fillId="0" borderId="0" xfId="3"/>
    <xf numFmtId="0" fontId="3" fillId="0" borderId="2" xfId="3" applyFont="1" applyBorder="1" applyAlignment="1">
      <alignment horizontal="center" wrapText="1"/>
    </xf>
    <xf numFmtId="0" fontId="3" fillId="0" borderId="3" xfId="3" applyFont="1" applyBorder="1" applyAlignment="1">
      <alignment horizontal="center" wrapText="1"/>
    </xf>
    <xf numFmtId="0" fontId="3" fillId="0" borderId="4" xfId="3" applyFont="1" applyBorder="1" applyAlignment="1">
      <alignment horizontal="center" wrapText="1"/>
    </xf>
    <xf numFmtId="0" fontId="3" fillId="2" borderId="5" xfId="3" applyFont="1" applyFill="1" applyBorder="1" applyAlignment="1">
      <alignment horizontal="left" vertical="top" wrapText="1"/>
    </xf>
    <xf numFmtId="164" fontId="4" fillId="0" borderId="6" xfId="3" applyNumberFormat="1" applyFont="1" applyBorder="1" applyAlignment="1">
      <alignment horizontal="right" vertical="top"/>
    </xf>
    <xf numFmtId="165" fontId="4" fillId="0" borderId="7" xfId="3" applyNumberFormat="1" applyFont="1" applyBorder="1" applyAlignment="1">
      <alignment horizontal="right" vertical="top"/>
    </xf>
    <xf numFmtId="165" fontId="4" fillId="0" borderId="8" xfId="3" applyNumberFormat="1" applyFont="1" applyBorder="1" applyAlignment="1">
      <alignment horizontal="right" vertical="top"/>
    </xf>
    <xf numFmtId="0" fontId="3" fillId="2" borderId="9" xfId="3" applyFont="1" applyFill="1" applyBorder="1" applyAlignment="1">
      <alignment horizontal="left" vertical="top" wrapText="1"/>
    </xf>
    <xf numFmtId="164" fontId="4" fillId="0" borderId="10" xfId="3" applyNumberFormat="1" applyFont="1" applyBorder="1" applyAlignment="1">
      <alignment horizontal="right" vertical="top"/>
    </xf>
    <xf numFmtId="165" fontId="4" fillId="0" borderId="11" xfId="3" applyNumberFormat="1" applyFont="1" applyBorder="1" applyAlignment="1">
      <alignment horizontal="right" vertical="top"/>
    </xf>
    <xf numFmtId="165" fontId="4" fillId="0" borderId="12" xfId="3" applyNumberFormat="1" applyFont="1" applyBorder="1" applyAlignment="1">
      <alignment horizontal="right" vertical="top"/>
    </xf>
    <xf numFmtId="0" fontId="4" fillId="0" borderId="12" xfId="3" applyFont="1" applyBorder="1" applyAlignment="1">
      <alignment horizontal="left" vertical="top" wrapText="1"/>
    </xf>
    <xf numFmtId="0" fontId="4" fillId="0" borderId="11" xfId="3" applyFont="1" applyBorder="1" applyAlignment="1">
      <alignment horizontal="left" vertical="top" wrapText="1"/>
    </xf>
    <xf numFmtId="164" fontId="4" fillId="0" borderId="14" xfId="3" applyNumberFormat="1" applyFont="1" applyBorder="1" applyAlignment="1">
      <alignment horizontal="right" vertical="top"/>
    </xf>
    <xf numFmtId="165" fontId="4" fillId="0" borderId="15" xfId="3" applyNumberFormat="1" applyFont="1" applyBorder="1" applyAlignment="1">
      <alignment horizontal="right" vertical="top"/>
    </xf>
    <xf numFmtId="0" fontId="4" fillId="0" borderId="15" xfId="3" applyFont="1" applyBorder="1" applyAlignment="1">
      <alignment horizontal="left" vertical="top" wrapText="1"/>
    </xf>
    <xf numFmtId="0" fontId="4" fillId="0" borderId="16" xfId="3" applyFont="1" applyBorder="1" applyAlignment="1">
      <alignment horizontal="left" vertical="top" wrapText="1"/>
    </xf>
    <xf numFmtId="165" fontId="4" fillId="3" borderId="7" xfId="3" applyNumberFormat="1" applyFont="1" applyFill="1" applyBorder="1" applyAlignment="1">
      <alignment horizontal="right" vertical="top"/>
    </xf>
    <xf numFmtId="0" fontId="3" fillId="2" borderId="0" xfId="3" applyFont="1" applyFill="1" applyBorder="1" applyAlignment="1">
      <alignment horizontal="left" vertical="top" wrapText="1"/>
    </xf>
    <xf numFmtId="165" fontId="0" fillId="0" borderId="0" xfId="0" applyNumberFormat="1"/>
    <xf numFmtId="0" fontId="1" fillId="0" borderId="0" xfId="4"/>
    <xf numFmtId="0" fontId="3" fillId="0" borderId="2" xfId="4" applyFont="1" applyBorder="1" applyAlignment="1">
      <alignment horizontal="center" wrapText="1"/>
    </xf>
    <xf numFmtId="0" fontId="3" fillId="0" borderId="3" xfId="4" applyFont="1" applyBorder="1" applyAlignment="1">
      <alignment horizontal="center" wrapText="1"/>
    </xf>
    <xf numFmtId="0" fontId="3" fillId="0" borderId="4" xfId="4" applyFont="1" applyBorder="1" applyAlignment="1">
      <alignment horizontal="center" wrapText="1"/>
    </xf>
    <xf numFmtId="0" fontId="3" fillId="2" borderId="5" xfId="4" applyFont="1" applyFill="1" applyBorder="1" applyAlignment="1">
      <alignment horizontal="left" vertical="top" wrapText="1"/>
    </xf>
    <xf numFmtId="164" fontId="4" fillId="0" borderId="6" xfId="4" applyNumberFormat="1" applyFont="1" applyBorder="1" applyAlignment="1">
      <alignment horizontal="right" vertical="top"/>
    </xf>
    <xf numFmtId="165" fontId="4" fillId="0" borderId="7" xfId="4" applyNumberFormat="1" applyFont="1" applyBorder="1" applyAlignment="1">
      <alignment horizontal="right" vertical="top"/>
    </xf>
    <xf numFmtId="165" fontId="4" fillId="0" borderId="8" xfId="4" applyNumberFormat="1" applyFont="1" applyBorder="1" applyAlignment="1">
      <alignment horizontal="right" vertical="top"/>
    </xf>
    <xf numFmtId="0" fontId="3" fillId="2" borderId="9" xfId="4" applyFont="1" applyFill="1" applyBorder="1" applyAlignment="1">
      <alignment horizontal="left" vertical="top" wrapText="1"/>
    </xf>
    <xf numFmtId="164" fontId="4" fillId="0" borderId="10" xfId="4" applyNumberFormat="1" applyFont="1" applyBorder="1" applyAlignment="1">
      <alignment horizontal="right" vertical="top"/>
    </xf>
    <xf numFmtId="165" fontId="4" fillId="0" borderId="11" xfId="4" applyNumberFormat="1" applyFont="1" applyBorder="1" applyAlignment="1">
      <alignment horizontal="right" vertical="top"/>
    </xf>
    <xf numFmtId="165" fontId="4" fillId="0" borderId="12" xfId="4" applyNumberFormat="1" applyFont="1" applyBorder="1" applyAlignment="1">
      <alignment horizontal="right" vertical="top"/>
    </xf>
    <xf numFmtId="0" fontId="3" fillId="2" borderId="13" xfId="4" applyFont="1" applyFill="1" applyBorder="1" applyAlignment="1">
      <alignment horizontal="left" vertical="top" wrapText="1"/>
    </xf>
    <xf numFmtId="164" fontId="4" fillId="0" borderId="14" xfId="4" applyNumberFormat="1" applyFont="1" applyBorder="1" applyAlignment="1">
      <alignment horizontal="right" vertical="top"/>
    </xf>
    <xf numFmtId="165" fontId="4" fillId="0" borderId="15" xfId="4" applyNumberFormat="1" applyFont="1" applyBorder="1" applyAlignment="1">
      <alignment horizontal="right" vertical="top"/>
    </xf>
    <xf numFmtId="0" fontId="4" fillId="0" borderId="16" xfId="4" applyFont="1" applyBorder="1" applyAlignment="1">
      <alignment horizontal="left" vertical="top" wrapText="1"/>
    </xf>
    <xf numFmtId="165" fontId="4" fillId="3" borderId="11" xfId="4" applyNumberFormat="1" applyFont="1" applyFill="1" applyBorder="1" applyAlignment="1">
      <alignment horizontal="right" vertical="top"/>
    </xf>
    <xf numFmtId="0" fontId="1" fillId="0" borderId="0" xfId="5"/>
    <xf numFmtId="0" fontId="3" fillId="0" borderId="2" xfId="5" applyFont="1" applyBorder="1" applyAlignment="1">
      <alignment horizontal="center" wrapText="1"/>
    </xf>
    <xf numFmtId="0" fontId="3" fillId="0" borderId="3" xfId="5" applyFont="1" applyBorder="1" applyAlignment="1">
      <alignment horizontal="center" wrapText="1"/>
    </xf>
    <xf numFmtId="0" fontId="3" fillId="0" borderId="4" xfId="5" applyFont="1" applyBorder="1" applyAlignment="1">
      <alignment horizontal="center" wrapText="1"/>
    </xf>
    <xf numFmtId="0" fontId="3" fillId="2" borderId="5" xfId="5" applyFont="1" applyFill="1" applyBorder="1" applyAlignment="1">
      <alignment horizontal="left" vertical="top" wrapText="1"/>
    </xf>
    <xf numFmtId="164" fontId="4" fillId="0" borderId="6" xfId="5" applyNumberFormat="1" applyFont="1" applyBorder="1" applyAlignment="1">
      <alignment horizontal="right" vertical="top"/>
    </xf>
    <xf numFmtId="165" fontId="4" fillId="0" borderId="7" xfId="5" applyNumberFormat="1" applyFont="1" applyBorder="1" applyAlignment="1">
      <alignment horizontal="right" vertical="top"/>
    </xf>
    <xf numFmtId="165" fontId="4" fillId="0" borderId="8" xfId="5" applyNumberFormat="1" applyFont="1" applyBorder="1" applyAlignment="1">
      <alignment horizontal="right" vertical="top"/>
    </xf>
    <xf numFmtId="0" fontId="3" fillId="2" borderId="9" xfId="5" applyFont="1" applyFill="1" applyBorder="1" applyAlignment="1">
      <alignment horizontal="left" vertical="top" wrapText="1"/>
    </xf>
    <xf numFmtId="164" fontId="4" fillId="0" borderId="10" xfId="5" applyNumberFormat="1" applyFont="1" applyBorder="1" applyAlignment="1">
      <alignment horizontal="right" vertical="top"/>
    </xf>
    <xf numFmtId="165" fontId="4" fillId="0" borderId="11" xfId="5" applyNumberFormat="1" applyFont="1" applyBorder="1" applyAlignment="1">
      <alignment horizontal="right" vertical="top"/>
    </xf>
    <xf numFmtId="165" fontId="4" fillId="0" borderId="12" xfId="5" applyNumberFormat="1" applyFont="1" applyBorder="1" applyAlignment="1">
      <alignment horizontal="right" vertical="top"/>
    </xf>
    <xf numFmtId="0" fontId="3" fillId="2" borderId="13" xfId="5" applyFont="1" applyFill="1" applyBorder="1" applyAlignment="1">
      <alignment horizontal="left" vertical="top" wrapText="1"/>
    </xf>
    <xf numFmtId="164" fontId="4" fillId="0" borderId="14" xfId="5" applyNumberFormat="1" applyFont="1" applyBorder="1" applyAlignment="1">
      <alignment horizontal="right" vertical="top"/>
    </xf>
    <xf numFmtId="165" fontId="4" fillId="0" borderId="15" xfId="5" applyNumberFormat="1" applyFont="1" applyBorder="1" applyAlignment="1">
      <alignment horizontal="right" vertical="top"/>
    </xf>
    <xf numFmtId="0" fontId="4" fillId="0" borderId="16" xfId="5" applyFont="1" applyBorder="1" applyAlignment="1">
      <alignment horizontal="left" vertical="top" wrapText="1"/>
    </xf>
    <xf numFmtId="165" fontId="4" fillId="3" borderId="7" xfId="5" applyNumberFormat="1" applyFont="1" applyFill="1" applyBorder="1" applyAlignment="1">
      <alignment horizontal="right" vertical="top"/>
    </xf>
    <xf numFmtId="0" fontId="1" fillId="0" borderId="0" xfId="6"/>
    <xf numFmtId="0" fontId="3" fillId="0" borderId="2" xfId="6" applyFont="1" applyBorder="1" applyAlignment="1">
      <alignment horizontal="center" wrapText="1"/>
    </xf>
    <xf numFmtId="0" fontId="3" fillId="0" borderId="3" xfId="6" applyFont="1" applyBorder="1" applyAlignment="1">
      <alignment horizontal="center" wrapText="1"/>
    </xf>
    <xf numFmtId="0" fontId="3" fillId="0" borderId="4" xfId="6" applyFont="1" applyBorder="1" applyAlignment="1">
      <alignment horizontal="center" wrapText="1"/>
    </xf>
    <xf numFmtId="0" fontId="3" fillId="2" borderId="5" xfId="6" applyFont="1" applyFill="1" applyBorder="1" applyAlignment="1">
      <alignment horizontal="left" vertical="top" wrapText="1"/>
    </xf>
    <xf numFmtId="164" fontId="4" fillId="0" borderId="6" xfId="6" applyNumberFormat="1" applyFont="1" applyBorder="1" applyAlignment="1">
      <alignment horizontal="right" vertical="top"/>
    </xf>
    <xf numFmtId="166" fontId="4" fillId="0" borderId="7" xfId="6" applyNumberFormat="1" applyFont="1" applyBorder="1" applyAlignment="1">
      <alignment horizontal="right" vertical="top"/>
    </xf>
    <xf numFmtId="0" fontId="3" fillId="2" borderId="13" xfId="6" applyFont="1" applyFill="1" applyBorder="1" applyAlignment="1">
      <alignment horizontal="left" vertical="top" wrapText="1"/>
    </xf>
    <xf numFmtId="164" fontId="4" fillId="0" borderId="14" xfId="6" applyNumberFormat="1" applyFont="1" applyBorder="1" applyAlignment="1">
      <alignment horizontal="right" vertical="top"/>
    </xf>
    <xf numFmtId="0" fontId="4" fillId="0" borderId="15" xfId="6" applyFont="1" applyBorder="1" applyAlignment="1">
      <alignment horizontal="left" vertical="top" wrapText="1"/>
    </xf>
    <xf numFmtId="0" fontId="4" fillId="0" borderId="16" xfId="6" applyFont="1" applyBorder="1" applyAlignment="1">
      <alignment horizontal="left" vertical="top" wrapText="1"/>
    </xf>
    <xf numFmtId="167" fontId="4" fillId="3" borderId="8" xfId="6" applyNumberFormat="1" applyFont="1" applyFill="1" applyBorder="1" applyAlignment="1">
      <alignment horizontal="right" vertical="top"/>
    </xf>
    <xf numFmtId="0" fontId="5" fillId="0" borderId="0" xfId="7"/>
    <xf numFmtId="0" fontId="6" fillId="0" borderId="2" xfId="7" applyFont="1" applyBorder="1" applyAlignment="1">
      <alignment horizontal="center" wrapText="1"/>
    </xf>
    <xf numFmtId="0" fontId="6" fillId="0" borderId="3" xfId="7" applyFont="1" applyBorder="1" applyAlignment="1">
      <alignment horizontal="center" wrapText="1"/>
    </xf>
    <xf numFmtId="0" fontId="6" fillId="0" borderId="4" xfId="7" applyFont="1" applyBorder="1" applyAlignment="1">
      <alignment horizontal="center" wrapText="1"/>
    </xf>
    <xf numFmtId="0" fontId="6" fillId="2" borderId="5" xfId="7" applyFont="1" applyFill="1" applyBorder="1" applyAlignment="1">
      <alignment horizontal="left" vertical="top" wrapText="1"/>
    </xf>
    <xf numFmtId="164" fontId="7" fillId="0" borderId="6" xfId="7" applyNumberFormat="1" applyFont="1" applyBorder="1" applyAlignment="1">
      <alignment horizontal="right" vertical="top"/>
    </xf>
    <xf numFmtId="166" fontId="7" fillId="0" borderId="7" xfId="7" applyNumberFormat="1" applyFont="1" applyBorder="1" applyAlignment="1">
      <alignment horizontal="right" vertical="top"/>
    </xf>
    <xf numFmtId="167" fontId="7" fillId="0" borderId="7" xfId="7" applyNumberFormat="1" applyFont="1" applyBorder="1" applyAlignment="1">
      <alignment horizontal="right" vertical="top"/>
    </xf>
    <xf numFmtId="168" fontId="7" fillId="0" borderId="8" xfId="7" applyNumberFormat="1" applyFont="1" applyBorder="1" applyAlignment="1">
      <alignment horizontal="right" vertical="top"/>
    </xf>
    <xf numFmtId="0" fontId="6" fillId="2" borderId="9" xfId="7" applyFont="1" applyFill="1" applyBorder="1" applyAlignment="1">
      <alignment horizontal="left" vertical="top" wrapText="1"/>
    </xf>
    <xf numFmtId="164" fontId="7" fillId="0" borderId="10" xfId="7" applyNumberFormat="1" applyFont="1" applyBorder="1" applyAlignment="1">
      <alignment horizontal="right" vertical="top"/>
    </xf>
    <xf numFmtId="166" fontId="7" fillId="0" borderId="11" xfId="7" applyNumberFormat="1" applyFont="1" applyBorder="1" applyAlignment="1">
      <alignment horizontal="right" vertical="top"/>
    </xf>
    <xf numFmtId="168" fontId="7" fillId="0" borderId="12" xfId="7" applyNumberFormat="1" applyFont="1" applyBorder="1" applyAlignment="1">
      <alignment horizontal="right" vertical="top"/>
    </xf>
    <xf numFmtId="0" fontId="6" fillId="2" borderId="13" xfId="7" applyFont="1" applyFill="1" applyBorder="1" applyAlignment="1">
      <alignment horizontal="left" vertical="top" wrapText="1"/>
    </xf>
    <xf numFmtId="164" fontId="7" fillId="0" borderId="14" xfId="7" applyNumberFormat="1" applyFont="1" applyBorder="1" applyAlignment="1">
      <alignment horizontal="right" vertical="top"/>
    </xf>
    <xf numFmtId="0" fontId="7" fillId="0" borderId="15" xfId="7" applyFont="1" applyBorder="1" applyAlignment="1">
      <alignment horizontal="left" vertical="top" wrapText="1"/>
    </xf>
    <xf numFmtId="0" fontId="7" fillId="0" borderId="16" xfId="7" applyFont="1" applyBorder="1" applyAlignment="1">
      <alignment horizontal="left" vertical="top" wrapText="1"/>
    </xf>
    <xf numFmtId="167" fontId="7" fillId="3" borderId="11" xfId="7" applyNumberFormat="1" applyFont="1" applyFill="1" applyBorder="1" applyAlignment="1">
      <alignment horizontal="right" vertical="top"/>
    </xf>
    <xf numFmtId="167" fontId="7" fillId="3" borderId="7" xfId="7" applyNumberFormat="1" applyFont="1" applyFill="1" applyBorder="1" applyAlignment="1">
      <alignment horizontal="right" vertical="top"/>
    </xf>
    <xf numFmtId="0" fontId="5" fillId="0" borderId="0" xfId="8"/>
    <xf numFmtId="0" fontId="6" fillId="0" borderId="2" xfId="8" applyFont="1" applyBorder="1" applyAlignment="1">
      <alignment horizontal="center" wrapText="1"/>
    </xf>
    <xf numFmtId="0" fontId="6" fillId="0" borderId="3" xfId="8" applyFont="1" applyBorder="1" applyAlignment="1">
      <alignment horizontal="center" wrapText="1"/>
    </xf>
    <xf numFmtId="0" fontId="6" fillId="0" borderId="4" xfId="8" applyFont="1" applyBorder="1" applyAlignment="1">
      <alignment horizontal="center" wrapText="1"/>
    </xf>
    <xf numFmtId="0" fontId="6" fillId="2" borderId="5" xfId="8" applyFont="1" applyFill="1" applyBorder="1" applyAlignment="1">
      <alignment horizontal="left" vertical="top"/>
    </xf>
    <xf numFmtId="164" fontId="7" fillId="0" borderId="6" xfId="8" applyNumberFormat="1" applyFont="1" applyBorder="1" applyAlignment="1">
      <alignment horizontal="right" vertical="top"/>
    </xf>
    <xf numFmtId="165" fontId="7" fillId="0" borderId="7" xfId="8" applyNumberFormat="1" applyFont="1" applyBorder="1" applyAlignment="1">
      <alignment horizontal="right" vertical="top"/>
    </xf>
    <xf numFmtId="165" fontId="7" fillId="0" borderId="8" xfId="8" applyNumberFormat="1" applyFont="1" applyBorder="1" applyAlignment="1">
      <alignment horizontal="right" vertical="top"/>
    </xf>
    <xf numFmtId="0" fontId="6" fillId="2" borderId="9" xfId="8" applyFont="1" applyFill="1" applyBorder="1" applyAlignment="1">
      <alignment horizontal="left" vertical="top"/>
    </xf>
    <xf numFmtId="164" fontId="7" fillId="0" borderId="10" xfId="8" applyNumberFormat="1" applyFont="1" applyBorder="1" applyAlignment="1">
      <alignment horizontal="right" vertical="top"/>
    </xf>
    <xf numFmtId="165" fontId="7" fillId="0" borderId="11" xfId="8" applyNumberFormat="1" applyFont="1" applyBorder="1" applyAlignment="1">
      <alignment horizontal="right" vertical="top"/>
    </xf>
    <xf numFmtId="165" fontId="7" fillId="0" borderId="12" xfId="8" applyNumberFormat="1" applyFont="1" applyBorder="1" applyAlignment="1">
      <alignment horizontal="right" vertical="top"/>
    </xf>
    <xf numFmtId="0" fontId="6" fillId="2" borderId="13" xfId="8" applyFont="1" applyFill="1" applyBorder="1" applyAlignment="1">
      <alignment horizontal="left" vertical="top" wrapText="1"/>
    </xf>
    <xf numFmtId="164" fontId="7" fillId="0" borderId="14" xfId="8" applyNumberFormat="1" applyFont="1" applyBorder="1" applyAlignment="1">
      <alignment horizontal="right" vertical="top"/>
    </xf>
    <xf numFmtId="165" fontId="7" fillId="0" borderId="15" xfId="8" applyNumberFormat="1" applyFont="1" applyBorder="1" applyAlignment="1">
      <alignment horizontal="right" vertical="top"/>
    </xf>
    <xf numFmtId="0" fontId="7" fillId="0" borderId="16" xfId="8" applyFont="1" applyBorder="1" applyAlignment="1">
      <alignment horizontal="left" vertical="top" wrapText="1"/>
    </xf>
    <xf numFmtId="165" fontId="7" fillId="3" borderId="11" xfId="8" applyNumberFormat="1" applyFont="1" applyFill="1" applyBorder="1" applyAlignment="1">
      <alignment horizontal="right" vertical="top"/>
    </xf>
    <xf numFmtId="0" fontId="5" fillId="0" borderId="0" xfId="9"/>
    <xf numFmtId="0" fontId="6" fillId="0" borderId="2" xfId="9" applyFont="1" applyBorder="1" applyAlignment="1">
      <alignment horizontal="center" wrapText="1"/>
    </xf>
    <xf numFmtId="0" fontId="6" fillId="0" borderId="3" xfId="9" applyFont="1" applyBorder="1" applyAlignment="1">
      <alignment horizontal="center" wrapText="1"/>
    </xf>
    <xf numFmtId="0" fontId="6" fillId="0" borderId="4" xfId="9" applyFont="1" applyBorder="1" applyAlignment="1">
      <alignment horizontal="center" wrapText="1"/>
    </xf>
    <xf numFmtId="0" fontId="6" fillId="2" borderId="5" xfId="9" applyFont="1" applyFill="1" applyBorder="1" applyAlignment="1">
      <alignment horizontal="left" vertical="top" wrapText="1"/>
    </xf>
    <xf numFmtId="164" fontId="7" fillId="0" borderId="6" xfId="9" applyNumberFormat="1" applyFont="1" applyBorder="1" applyAlignment="1">
      <alignment horizontal="right" vertical="top"/>
    </xf>
    <xf numFmtId="165" fontId="7" fillId="0" borderId="7" xfId="9" applyNumberFormat="1" applyFont="1" applyBorder="1" applyAlignment="1">
      <alignment horizontal="right" vertical="top"/>
    </xf>
    <xf numFmtId="165" fontId="7" fillId="0" borderId="8" xfId="9" applyNumberFormat="1" applyFont="1" applyBorder="1" applyAlignment="1">
      <alignment horizontal="right" vertical="top"/>
    </xf>
    <xf numFmtId="0" fontId="6" fillId="2" borderId="9" xfId="9" applyFont="1" applyFill="1" applyBorder="1" applyAlignment="1">
      <alignment horizontal="left" vertical="top" wrapText="1"/>
    </xf>
    <xf numFmtId="164" fontId="7" fillId="0" borderId="10" xfId="9" applyNumberFormat="1" applyFont="1" applyBorder="1" applyAlignment="1">
      <alignment horizontal="right" vertical="top"/>
    </xf>
    <xf numFmtId="165" fontId="7" fillId="0" borderId="11" xfId="9" applyNumberFormat="1" applyFont="1" applyBorder="1" applyAlignment="1">
      <alignment horizontal="right" vertical="top"/>
    </xf>
    <xf numFmtId="165" fontId="7" fillId="0" borderId="12" xfId="9" applyNumberFormat="1" applyFont="1" applyBorder="1" applyAlignment="1">
      <alignment horizontal="right" vertical="top"/>
    </xf>
    <xf numFmtId="0" fontId="6" fillId="2" borderId="13" xfId="9" applyFont="1" applyFill="1" applyBorder="1" applyAlignment="1">
      <alignment horizontal="left" vertical="top" wrapText="1"/>
    </xf>
    <xf numFmtId="164" fontId="7" fillId="0" borderId="14" xfId="9" applyNumberFormat="1" applyFont="1" applyBorder="1" applyAlignment="1">
      <alignment horizontal="right" vertical="top"/>
    </xf>
    <xf numFmtId="165" fontId="7" fillId="0" borderId="15" xfId="9" applyNumberFormat="1" applyFont="1" applyBorder="1" applyAlignment="1">
      <alignment horizontal="right" vertical="top"/>
    </xf>
    <xf numFmtId="0" fontId="7" fillId="0" borderId="16" xfId="9" applyFont="1" applyBorder="1" applyAlignment="1">
      <alignment horizontal="left" vertical="top" wrapText="1"/>
    </xf>
    <xf numFmtId="165" fontId="7" fillId="3" borderId="7" xfId="9" applyNumberFormat="1" applyFont="1" applyFill="1" applyBorder="1" applyAlignment="1">
      <alignment horizontal="right" vertical="top"/>
    </xf>
    <xf numFmtId="0" fontId="3" fillId="2" borderId="5" xfId="1" applyFont="1" applyFill="1" applyBorder="1" applyAlignment="1">
      <alignment horizontal="left" vertical="top" wrapText="1"/>
    </xf>
    <xf numFmtId="0" fontId="3" fillId="2" borderId="9" xfId="1" applyFont="1" applyFill="1" applyBorder="1" applyAlignment="1">
      <alignment horizontal="left" vertical="top" wrapText="1"/>
    </xf>
    <xf numFmtId="2" fontId="0" fillId="3" borderId="0" xfId="0" applyNumberFormat="1" applyFill="1"/>
    <xf numFmtId="0" fontId="8" fillId="3" borderId="9" xfId="1" applyFont="1" applyFill="1" applyBorder="1" applyAlignment="1">
      <alignment horizontal="left" vertical="top" wrapText="1"/>
    </xf>
    <xf numFmtId="2" fontId="9" fillId="0" borderId="0" xfId="0" applyNumberFormat="1" applyFont="1"/>
    <xf numFmtId="165" fontId="10" fillId="3" borderId="11" xfId="1" applyNumberFormat="1" applyFont="1" applyFill="1" applyBorder="1" applyAlignment="1">
      <alignment horizontal="right" vertical="top"/>
    </xf>
    <xf numFmtId="164" fontId="10" fillId="3" borderId="10" xfId="1" applyNumberFormat="1" applyFont="1" applyFill="1" applyBorder="1" applyAlignment="1">
      <alignment horizontal="right" vertical="top"/>
    </xf>
    <xf numFmtId="0" fontId="5" fillId="0" borderId="0" xfId="10"/>
    <xf numFmtId="0" fontId="6" fillId="0" borderId="2" xfId="10" applyFont="1" applyBorder="1" applyAlignment="1">
      <alignment horizontal="center" wrapText="1"/>
    </xf>
    <xf numFmtId="0" fontId="6" fillId="0" borderId="3" xfId="10" applyFont="1" applyBorder="1" applyAlignment="1">
      <alignment horizontal="center" wrapText="1"/>
    </xf>
    <xf numFmtId="0" fontId="6" fillId="0" borderId="4" xfId="10" applyFont="1" applyBorder="1" applyAlignment="1">
      <alignment horizontal="center" wrapText="1"/>
    </xf>
    <xf numFmtId="0" fontId="6" fillId="2" borderId="5" xfId="10" applyFont="1" applyFill="1" applyBorder="1" applyAlignment="1">
      <alignment horizontal="left" vertical="top" wrapText="1"/>
    </xf>
    <xf numFmtId="164" fontId="7" fillId="0" borderId="6" xfId="10" applyNumberFormat="1" applyFont="1" applyBorder="1" applyAlignment="1">
      <alignment horizontal="right" vertical="top"/>
    </xf>
    <xf numFmtId="165" fontId="7" fillId="0" borderId="7" xfId="10" applyNumberFormat="1" applyFont="1" applyBorder="1" applyAlignment="1">
      <alignment horizontal="right" vertical="top"/>
    </xf>
    <xf numFmtId="165" fontId="7" fillId="0" borderId="8" xfId="10" applyNumberFormat="1" applyFont="1" applyBorder="1" applyAlignment="1">
      <alignment horizontal="right" vertical="top"/>
    </xf>
    <xf numFmtId="0" fontId="6" fillId="2" borderId="9" xfId="10" applyFont="1" applyFill="1" applyBorder="1" applyAlignment="1">
      <alignment horizontal="left" vertical="top" wrapText="1"/>
    </xf>
    <xf numFmtId="164" fontId="7" fillId="0" borderId="10" xfId="10" applyNumberFormat="1" applyFont="1" applyBorder="1" applyAlignment="1">
      <alignment horizontal="right" vertical="top"/>
    </xf>
    <xf numFmtId="165" fontId="7" fillId="0" borderId="11" xfId="10" applyNumberFormat="1" applyFont="1" applyBorder="1" applyAlignment="1">
      <alignment horizontal="right" vertical="top"/>
    </xf>
    <xf numFmtId="165" fontId="7" fillId="0" borderId="12" xfId="10" applyNumberFormat="1" applyFont="1" applyBorder="1" applyAlignment="1">
      <alignment horizontal="right" vertical="top"/>
    </xf>
    <xf numFmtId="0" fontId="7" fillId="0" borderId="12" xfId="10" applyFont="1" applyBorder="1" applyAlignment="1">
      <alignment horizontal="left" vertical="top" wrapText="1"/>
    </xf>
    <xf numFmtId="0" fontId="7" fillId="0" borderId="11" xfId="10" applyFont="1" applyBorder="1" applyAlignment="1">
      <alignment horizontal="left" vertical="top" wrapText="1"/>
    </xf>
    <xf numFmtId="164" fontId="7" fillId="0" borderId="14" xfId="10" applyNumberFormat="1" applyFont="1" applyBorder="1" applyAlignment="1">
      <alignment horizontal="right" vertical="top"/>
    </xf>
    <xf numFmtId="165" fontId="7" fillId="0" borderId="15" xfId="10" applyNumberFormat="1" applyFont="1" applyBorder="1" applyAlignment="1">
      <alignment horizontal="right" vertical="top"/>
    </xf>
    <xf numFmtId="0" fontId="7" fillId="0" borderId="15" xfId="10" applyFont="1" applyBorder="1" applyAlignment="1">
      <alignment horizontal="left" vertical="top" wrapText="1"/>
    </xf>
    <xf numFmtId="0" fontId="7" fillId="0" borderId="16" xfId="10" applyFont="1" applyBorder="1" applyAlignment="1">
      <alignment horizontal="left" vertical="top" wrapText="1"/>
    </xf>
    <xf numFmtId="0" fontId="5" fillId="0" borderId="0" xfId="11"/>
    <xf numFmtId="0" fontId="6" fillId="0" borderId="2" xfId="11" applyFont="1" applyBorder="1" applyAlignment="1">
      <alignment horizontal="center" wrapText="1"/>
    </xf>
    <xf numFmtId="0" fontId="6" fillId="0" borderId="3" xfId="11" applyFont="1" applyBorder="1" applyAlignment="1">
      <alignment horizontal="center" wrapText="1"/>
    </xf>
    <xf numFmtId="0" fontId="6" fillId="0" borderId="4" xfId="11" applyFont="1" applyBorder="1" applyAlignment="1">
      <alignment horizontal="center" wrapText="1"/>
    </xf>
    <xf numFmtId="0" fontId="6" fillId="2" borderId="5" xfId="11" applyFont="1" applyFill="1" applyBorder="1" applyAlignment="1">
      <alignment horizontal="left" vertical="top" wrapText="1"/>
    </xf>
    <xf numFmtId="164" fontId="7" fillId="0" borderId="6" xfId="11" applyNumberFormat="1" applyFont="1" applyBorder="1" applyAlignment="1">
      <alignment horizontal="right" vertical="top"/>
    </xf>
    <xf numFmtId="165" fontId="7" fillId="0" borderId="7" xfId="11" applyNumberFormat="1" applyFont="1" applyBorder="1" applyAlignment="1">
      <alignment horizontal="right" vertical="top"/>
    </xf>
    <xf numFmtId="165" fontId="7" fillId="0" borderId="8" xfId="11" applyNumberFormat="1" applyFont="1" applyBorder="1" applyAlignment="1">
      <alignment horizontal="right" vertical="top"/>
    </xf>
    <xf numFmtId="0" fontId="6" fillId="2" borderId="9" xfId="11" applyFont="1" applyFill="1" applyBorder="1" applyAlignment="1">
      <alignment horizontal="left" vertical="top" wrapText="1"/>
    </xf>
    <xf numFmtId="164" fontId="7" fillId="0" borderId="10" xfId="11" applyNumberFormat="1" applyFont="1" applyBorder="1" applyAlignment="1">
      <alignment horizontal="right" vertical="top"/>
    </xf>
    <xf numFmtId="165" fontId="7" fillId="0" borderId="11" xfId="11" applyNumberFormat="1" applyFont="1" applyBorder="1" applyAlignment="1">
      <alignment horizontal="right" vertical="top"/>
    </xf>
    <xf numFmtId="165" fontId="7" fillId="0" borderId="12" xfId="11" applyNumberFormat="1" applyFont="1" applyBorder="1" applyAlignment="1">
      <alignment horizontal="right" vertical="top"/>
    </xf>
    <xf numFmtId="0" fontId="7" fillId="0" borderId="12" xfId="11" applyFont="1" applyBorder="1" applyAlignment="1">
      <alignment horizontal="left" vertical="top" wrapText="1"/>
    </xf>
    <xf numFmtId="0" fontId="7" fillId="0" borderId="11" xfId="11" applyFont="1" applyBorder="1" applyAlignment="1">
      <alignment horizontal="left" vertical="top" wrapText="1"/>
    </xf>
    <xf numFmtId="164" fontId="7" fillId="0" borderId="14" xfId="11" applyNumberFormat="1" applyFont="1" applyBorder="1" applyAlignment="1">
      <alignment horizontal="right" vertical="top"/>
    </xf>
    <xf numFmtId="165" fontId="7" fillId="0" borderId="15" xfId="11" applyNumberFormat="1" applyFont="1" applyBorder="1" applyAlignment="1">
      <alignment horizontal="right" vertical="top"/>
    </xf>
    <xf numFmtId="0" fontId="7" fillId="0" borderId="15" xfId="11" applyFont="1" applyBorder="1" applyAlignment="1">
      <alignment horizontal="left" vertical="top" wrapText="1"/>
    </xf>
    <xf numFmtId="0" fontId="7" fillId="0" borderId="16" xfId="11" applyFont="1" applyBorder="1" applyAlignment="1">
      <alignment horizontal="left" vertical="top" wrapText="1"/>
    </xf>
    <xf numFmtId="0" fontId="6" fillId="3" borderId="9" xfId="10" applyFont="1" applyFill="1" applyBorder="1" applyAlignment="1">
      <alignment horizontal="left" vertical="top" wrapText="1"/>
    </xf>
    <xf numFmtId="164" fontId="7" fillId="3" borderId="10" xfId="10" applyNumberFormat="1" applyFont="1" applyFill="1" applyBorder="1" applyAlignment="1">
      <alignment horizontal="right" vertical="top"/>
    </xf>
    <xf numFmtId="165" fontId="10" fillId="3" borderId="11" xfId="10" applyNumberFormat="1" applyFont="1" applyFill="1" applyBorder="1" applyAlignment="1">
      <alignment horizontal="right" vertical="top"/>
    </xf>
    <xf numFmtId="165" fontId="7" fillId="3" borderId="7" xfId="11" applyNumberFormat="1" applyFont="1" applyFill="1" applyBorder="1" applyAlignment="1">
      <alignment horizontal="right" vertical="top"/>
    </xf>
    <xf numFmtId="0" fontId="2" fillId="0" borderId="0" xfId="10" applyFont="1" applyBorder="1" applyAlignment="1">
      <alignment horizontal="center" vertical="center" wrapText="1"/>
    </xf>
    <xf numFmtId="0" fontId="6" fillId="0" borderId="1" xfId="10" applyFont="1" applyBorder="1" applyAlignment="1">
      <alignment horizontal="left" wrapText="1"/>
    </xf>
    <xf numFmtId="0" fontId="6" fillId="2" borderId="5" xfId="10" applyFont="1" applyFill="1" applyBorder="1" applyAlignment="1">
      <alignment horizontal="left" vertical="top" wrapText="1"/>
    </xf>
    <xf numFmtId="0" fontId="6" fillId="2" borderId="9" xfId="10" applyFont="1" applyFill="1" applyBorder="1" applyAlignment="1">
      <alignment horizontal="left" vertical="top" wrapText="1"/>
    </xf>
    <xf numFmtId="0" fontId="6" fillId="2" borderId="13" xfId="10" applyFont="1" applyFill="1" applyBorder="1" applyAlignment="1">
      <alignment horizontal="left" vertical="top" wrapText="1"/>
    </xf>
    <xf numFmtId="0" fontId="2" fillId="0" borderId="0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9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0" fontId="2" fillId="0" borderId="0" xfId="11" applyFont="1" applyBorder="1" applyAlignment="1">
      <alignment horizontal="center" vertical="center" wrapText="1"/>
    </xf>
    <xf numFmtId="0" fontId="6" fillId="0" borderId="1" xfId="11" applyFont="1" applyBorder="1" applyAlignment="1">
      <alignment horizontal="left" wrapText="1"/>
    </xf>
    <xf numFmtId="0" fontId="6" fillId="2" borderId="5" xfId="11" applyFont="1" applyFill="1" applyBorder="1" applyAlignment="1">
      <alignment horizontal="left" vertical="top" wrapText="1"/>
    </xf>
    <xf numFmtId="0" fontId="6" fillId="2" borderId="9" xfId="11" applyFont="1" applyFill="1" applyBorder="1" applyAlignment="1">
      <alignment horizontal="left" vertical="top" wrapText="1"/>
    </xf>
    <xf numFmtId="0" fontId="6" fillId="2" borderId="13" xfId="11" applyFont="1" applyFill="1" applyBorder="1" applyAlignment="1">
      <alignment horizontal="left" vertical="top" wrapText="1"/>
    </xf>
    <xf numFmtId="0" fontId="3" fillId="2" borderId="5" xfId="3" applyFont="1" applyFill="1" applyBorder="1" applyAlignment="1">
      <alignment horizontal="left" vertical="top" wrapText="1"/>
    </xf>
    <xf numFmtId="0" fontId="3" fillId="2" borderId="9" xfId="3" applyFont="1" applyFill="1" applyBorder="1" applyAlignment="1">
      <alignment horizontal="left" vertical="top" wrapText="1"/>
    </xf>
    <xf numFmtId="0" fontId="3" fillId="2" borderId="13" xfId="3" applyFont="1" applyFill="1" applyBorder="1" applyAlignment="1">
      <alignment horizontal="left" vertical="top" wrapText="1"/>
    </xf>
    <xf numFmtId="0" fontId="2" fillId="0" borderId="0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left" wrapText="1"/>
    </xf>
    <xf numFmtId="0" fontId="3" fillId="2" borderId="5" xfId="2" applyFont="1" applyFill="1" applyBorder="1" applyAlignment="1">
      <alignment horizontal="left" vertical="top" wrapText="1"/>
    </xf>
    <xf numFmtId="0" fontId="3" fillId="2" borderId="9" xfId="2" applyFont="1" applyFill="1" applyBorder="1" applyAlignment="1">
      <alignment horizontal="left" vertical="top" wrapText="1"/>
    </xf>
    <xf numFmtId="0" fontId="3" fillId="2" borderId="13" xfId="2" applyFont="1" applyFill="1" applyBorder="1" applyAlignment="1">
      <alignment horizontal="left" vertical="top" wrapText="1"/>
    </xf>
    <xf numFmtId="0" fontId="2" fillId="0" borderId="0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wrapText="1"/>
    </xf>
    <xf numFmtId="0" fontId="6" fillId="2" borderId="5" xfId="8" applyFont="1" applyFill="1" applyBorder="1" applyAlignment="1">
      <alignment horizontal="left" vertical="top" wrapText="1"/>
    </xf>
    <xf numFmtId="0" fontId="6" fillId="2" borderId="9" xfId="8" applyFont="1" applyFill="1" applyBorder="1" applyAlignment="1">
      <alignment horizontal="left" vertical="top" wrapText="1"/>
    </xf>
    <xf numFmtId="0" fontId="6" fillId="2" borderId="13" xfId="8" applyFont="1" applyFill="1" applyBorder="1" applyAlignment="1">
      <alignment horizontal="left" vertical="top" wrapText="1"/>
    </xf>
    <xf numFmtId="0" fontId="2" fillId="0" borderId="0" xfId="4" applyFont="1" applyBorder="1" applyAlignment="1">
      <alignment horizontal="center" vertical="center" wrapText="1"/>
    </xf>
    <xf numFmtId="0" fontId="3" fillId="0" borderId="1" xfId="4" applyFont="1" applyBorder="1" applyAlignment="1">
      <alignment horizontal="left" wrapText="1"/>
    </xf>
    <xf numFmtId="0" fontId="3" fillId="2" borderId="5" xfId="4" applyFont="1" applyFill="1" applyBorder="1" applyAlignment="1">
      <alignment horizontal="left" vertical="top" wrapText="1"/>
    </xf>
    <xf numFmtId="0" fontId="3" fillId="2" borderId="9" xfId="4" applyFont="1" applyFill="1" applyBorder="1" applyAlignment="1">
      <alignment horizontal="left" vertical="top" wrapText="1"/>
    </xf>
    <xf numFmtId="0" fontId="3" fillId="2" borderId="13" xfId="4" applyFont="1" applyFill="1" applyBorder="1" applyAlignment="1">
      <alignment horizontal="left" vertical="top" wrapText="1"/>
    </xf>
    <xf numFmtId="0" fontId="2" fillId="0" borderId="0" xfId="8" applyFont="1" applyBorder="1" applyAlignment="1">
      <alignment horizontal="center" vertical="center" wrapText="1"/>
    </xf>
    <xf numFmtId="0" fontId="6" fillId="0" borderId="1" xfId="8" applyFont="1" applyBorder="1" applyAlignment="1">
      <alignment horizontal="left" wrapText="1"/>
    </xf>
    <xf numFmtId="0" fontId="6" fillId="2" borderId="5" xfId="9" applyFont="1" applyFill="1" applyBorder="1" applyAlignment="1">
      <alignment horizontal="left" vertical="top" wrapText="1"/>
    </xf>
    <xf numFmtId="0" fontId="6" fillId="2" borderId="9" xfId="9" applyFont="1" applyFill="1" applyBorder="1" applyAlignment="1">
      <alignment horizontal="left" vertical="top" wrapText="1"/>
    </xf>
    <xf numFmtId="0" fontId="6" fillId="2" borderId="13" xfId="9" applyFont="1" applyFill="1" applyBorder="1" applyAlignment="1">
      <alignment horizontal="left" vertical="top" wrapText="1"/>
    </xf>
    <xf numFmtId="0" fontId="2" fillId="0" borderId="0" xfId="5" applyFont="1" applyBorder="1" applyAlignment="1">
      <alignment horizontal="center" vertical="center" wrapText="1"/>
    </xf>
    <xf numFmtId="0" fontId="3" fillId="0" borderId="1" xfId="5" applyFont="1" applyBorder="1" applyAlignment="1">
      <alignment horizontal="left" wrapText="1"/>
    </xf>
    <xf numFmtId="0" fontId="3" fillId="2" borderId="5" xfId="5" applyFont="1" applyFill="1" applyBorder="1" applyAlignment="1">
      <alignment horizontal="left" vertical="top" wrapText="1"/>
    </xf>
    <xf numFmtId="0" fontId="3" fillId="2" borderId="9" xfId="5" applyFont="1" applyFill="1" applyBorder="1" applyAlignment="1">
      <alignment horizontal="left" vertical="top" wrapText="1"/>
    </xf>
    <xf numFmtId="0" fontId="3" fillId="2" borderId="13" xfId="5" applyFont="1" applyFill="1" applyBorder="1" applyAlignment="1">
      <alignment horizontal="left" vertical="top" wrapText="1"/>
    </xf>
    <xf numFmtId="0" fontId="2" fillId="0" borderId="0" xfId="9" applyFont="1" applyBorder="1" applyAlignment="1">
      <alignment horizontal="center" vertical="center" wrapText="1"/>
    </xf>
    <xf numFmtId="0" fontId="6" fillId="0" borderId="1" xfId="9" applyFont="1" applyBorder="1" applyAlignment="1">
      <alignment horizontal="left" wrapText="1"/>
    </xf>
    <xf numFmtId="0" fontId="2" fillId="0" borderId="0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left" wrapText="1"/>
    </xf>
    <xf numFmtId="0" fontId="2" fillId="0" borderId="0" xfId="7" applyFont="1" applyBorder="1" applyAlignment="1">
      <alignment horizontal="center" vertical="center" wrapText="1"/>
    </xf>
    <xf numFmtId="0" fontId="6" fillId="0" borderId="1" xfId="7" applyFont="1" applyBorder="1" applyAlignment="1">
      <alignment horizontal="left" wrapText="1"/>
    </xf>
  </cellXfs>
  <cellStyles count="12">
    <cellStyle name="Normal" xfId="0" builtinId="0"/>
    <cellStyle name="Normal_Acceptability_tolerance" xfId="4" xr:uid="{0716E34C-0BBD-4868-99AB-36AEF4EA9E1D}"/>
    <cellStyle name="Normal_Acceptability_tolerance_1" xfId="8" xr:uid="{2400DF78-AF7A-40D9-9A95-EB195EA4107F}"/>
    <cellStyle name="Normal_corruptness_of_officials" xfId="6" xr:uid="{91D19A21-AF40-46E7-A9B7-7837E54FA962}"/>
    <cellStyle name="Normal_corruptness_of_officials_1" xfId="7" xr:uid="{CA8C5D5F-60FC-4776-8374-D3F0D799F914}"/>
    <cellStyle name="Normal_Involvment_pressure_pre_2023" xfId="1" xr:uid="{2EEC14FF-CD0B-4E50-BD9E-E5D4EC689861}"/>
    <cellStyle name="Normal_Involvment_pressure_pre_2023_1" xfId="10" xr:uid="{3A99BB36-2E27-482A-9387-5AA51D09A5E9}"/>
    <cellStyle name="Normal_likelihood_of_corruption_press" xfId="5" xr:uid="{2181CDBD-840A-4D03-91AA-27C686849CFB}"/>
    <cellStyle name="Normal_likelihood_of_corruption_press_1" xfId="9" xr:uid="{8813F00B-F73E-4FA1-8380-0B63AF30FD83}"/>
    <cellStyle name="Normal_rent-seeking sucept" xfId="3" xr:uid="{10ABFBF7-35EA-455B-B4DC-545A2DB3EAE7}"/>
    <cellStyle name="Normal_rent-seeking sucept_1" xfId="11" xr:uid="{6E5022E6-5A26-49F3-82B3-337D57B22BB0}"/>
    <cellStyle name="Normal_Sheet1" xfId="2" xr:uid="{A9F15B3F-4AA0-4A7A-B756-1C7485274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Corruption pressure</a:t>
            </a:r>
            <a:r>
              <a:rPr lang="en-US" baseline="0"/>
              <a:t> and involvement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5478209825312E-2"/>
          <c:y val="0.14357092941998603"/>
          <c:w val="0.90074084569762969"/>
          <c:h val="0.67559907998921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Involvment_pressure_pre_2023!$A$20</c:f>
              <c:strCache>
                <c:ptCount val="1"/>
                <c:pt idx="0">
                  <c:v>Involvement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Involvment_pressure_pre_2023!$B$19:$V$19</c:f>
              <c:numCache>
                <c:formatCode>General</c:formatCod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2018</c:v>
                </c:pt>
                <c:pt idx="19">
                  <c:v>2023</c:v>
                </c:pt>
                <c:pt idx="20">
                  <c:v>2025</c:v>
                </c:pt>
              </c:numCache>
            </c:numRef>
          </c:cat>
          <c:val>
            <c:numRef>
              <c:f>Involvment_pressure_pre_2023!$B$20:$V$20</c:f>
              <c:numCache>
                <c:formatCode>0.00</c:formatCode>
                <c:ptCount val="21"/>
                <c:pt idx="0">
                  <c:v>28.7</c:v>
                </c:pt>
                <c:pt idx="1">
                  <c:v>23.4</c:v>
                </c:pt>
                <c:pt idx="2">
                  <c:v>17.399999999999999</c:v>
                </c:pt>
                <c:pt idx="3">
                  <c:v>20.3</c:v>
                </c:pt>
                <c:pt idx="4">
                  <c:v>15</c:v>
                </c:pt>
                <c:pt idx="5">
                  <c:v>15.1</c:v>
                </c:pt>
                <c:pt idx="6">
                  <c:v>16.399999999999999</c:v>
                </c:pt>
                <c:pt idx="7">
                  <c:v>14.8</c:v>
                </c:pt>
                <c:pt idx="8">
                  <c:v>16.5</c:v>
                </c:pt>
                <c:pt idx="9">
                  <c:v>17.2</c:v>
                </c:pt>
                <c:pt idx="10">
                  <c:v>14.5</c:v>
                </c:pt>
                <c:pt idx="11">
                  <c:v>9.6</c:v>
                </c:pt>
                <c:pt idx="12">
                  <c:v>9.4</c:v>
                </c:pt>
                <c:pt idx="13">
                  <c:v>14.3</c:v>
                </c:pt>
                <c:pt idx="14">
                  <c:v>13.6</c:v>
                </c:pt>
                <c:pt idx="15">
                  <c:v>29.3</c:v>
                </c:pt>
                <c:pt idx="16">
                  <c:v>18.600000000000001</c:v>
                </c:pt>
                <c:pt idx="17">
                  <c:v>22.2</c:v>
                </c:pt>
                <c:pt idx="18">
                  <c:v>20.3</c:v>
                </c:pt>
                <c:pt idx="19">
                  <c:v>30</c:v>
                </c:pt>
                <c:pt idx="20">
                  <c:v>34.744403436556311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6-45CB-B5FE-FB1C104A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2534864"/>
        <c:axId val="342376224"/>
      </c:barChart>
      <c:lineChart>
        <c:grouping val="stacked"/>
        <c:varyColors val="0"/>
        <c:ser>
          <c:idx val="2"/>
          <c:order val="1"/>
          <c:tx>
            <c:strRef>
              <c:f>Involvment_pressure_pre_2023!$A$21</c:f>
              <c:strCache>
                <c:ptCount val="1"/>
                <c:pt idx="0">
                  <c:v>Pressure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4.4987146529562982E-2"/>
                  <c:y val="3.494060097833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F6-45CB-B5FE-FB1C104AE834}"/>
                </c:ext>
              </c:extLst>
            </c:dLbl>
            <c:dLbl>
              <c:idx val="8"/>
              <c:layout>
                <c:manualLayout>
                  <c:x val="0"/>
                  <c:y val="-9.0845562543675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F6-45CB-B5FE-FB1C104AE834}"/>
                </c:ext>
              </c:extLst>
            </c:dLbl>
            <c:dLbl>
              <c:idx val="13"/>
              <c:layout>
                <c:manualLayout>
                  <c:x val="-1.9280205655526992E-2"/>
                  <c:y val="-2.7952480782669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F6-45CB-B5FE-FB1C104AE834}"/>
                </c:ext>
              </c:extLst>
            </c:dLbl>
            <c:dLbl>
              <c:idx val="16"/>
              <c:layout>
                <c:manualLayout>
                  <c:x val="-1.4995715509854327E-2"/>
                  <c:y val="-5.2410901467505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F6-45CB-B5FE-FB1C104AE834}"/>
                </c:ext>
              </c:extLst>
            </c:dLbl>
            <c:dLbl>
              <c:idx val="17"/>
              <c:layout>
                <c:manualLayout>
                  <c:x val="-1.928020565552699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F6-45CB-B5FE-FB1C104AE834}"/>
                </c:ext>
              </c:extLst>
            </c:dLbl>
            <c:dLbl>
              <c:idx val="18"/>
              <c:layout>
                <c:manualLayout>
                  <c:x val="-5.9982862039417467E-2"/>
                  <c:y val="-0.104821802935010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F6-45CB-B5FE-FB1C104AE834}"/>
                </c:ext>
              </c:extLst>
            </c:dLbl>
            <c:dLbl>
              <c:idx val="19"/>
              <c:layout>
                <c:manualLayout>
                  <c:x val="-7.2836332476435464E-2"/>
                  <c:y val="-6.9881201956673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F6-45CB-B5FE-FB1C104AE8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Involvment_pressure_pre_2023!$B$21:$V$21</c:f>
              <c:numCache>
                <c:formatCode>0.00</c:formatCode>
                <c:ptCount val="21"/>
                <c:pt idx="0">
                  <c:v>34.200000000000003</c:v>
                </c:pt>
                <c:pt idx="1">
                  <c:v>31</c:v>
                </c:pt>
                <c:pt idx="2">
                  <c:v>22.6</c:v>
                </c:pt>
                <c:pt idx="3">
                  <c:v>27.5</c:v>
                </c:pt>
                <c:pt idx="4">
                  <c:v>22.8</c:v>
                </c:pt>
                <c:pt idx="5">
                  <c:v>22.1</c:v>
                </c:pt>
                <c:pt idx="6">
                  <c:v>25.2</c:v>
                </c:pt>
                <c:pt idx="7">
                  <c:v>20.3</c:v>
                </c:pt>
                <c:pt idx="8">
                  <c:v>21</c:v>
                </c:pt>
                <c:pt idx="9">
                  <c:v>21.4</c:v>
                </c:pt>
                <c:pt idx="10">
                  <c:v>18.3</c:v>
                </c:pt>
                <c:pt idx="11">
                  <c:v>12.4</c:v>
                </c:pt>
                <c:pt idx="12">
                  <c:v>14.4</c:v>
                </c:pt>
                <c:pt idx="13">
                  <c:v>20.6</c:v>
                </c:pt>
                <c:pt idx="14">
                  <c:v>18.8</c:v>
                </c:pt>
                <c:pt idx="15">
                  <c:v>39.4</c:v>
                </c:pt>
                <c:pt idx="16">
                  <c:v>27.7</c:v>
                </c:pt>
                <c:pt idx="17">
                  <c:v>24.4</c:v>
                </c:pt>
                <c:pt idx="18">
                  <c:v>28.2</c:v>
                </c:pt>
                <c:pt idx="19">
                  <c:v>35</c:v>
                </c:pt>
                <c:pt idx="20">
                  <c:v>41.790438910976839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6-45CB-B5FE-FB1C104A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534864"/>
        <c:axId val="342376224"/>
      </c:lineChart>
      <c:catAx>
        <c:axId val="55253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76224"/>
        <c:crosses val="autoZero"/>
        <c:auto val="1"/>
        <c:lblAlgn val="ctr"/>
        <c:lblOffset val="100"/>
        <c:noMultiLvlLbl val="0"/>
      </c:catAx>
      <c:valAx>
        <c:axId val="3423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3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'rent-seeking sucept'!$A$20</c:f>
              <c:strCache>
                <c:ptCount val="1"/>
                <c:pt idx="0">
                  <c:v>Susceptability to corruption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'rent-seeking sucept'!$B$19:$H$19</c:f>
              <c:numCache>
                <c:formatCode>General</c:formatCode>
                <c:ptCount val="7"/>
                <c:pt idx="0">
                  <c:v>2001</c:v>
                </c:pt>
                <c:pt idx="1">
                  <c:v>2002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2023</c:v>
                </c:pt>
                <c:pt idx="6">
                  <c:v>2025</c:v>
                </c:pt>
              </c:numCache>
            </c:numRef>
          </c:cat>
          <c:val>
            <c:numRef>
              <c:f>'rent-seeking sucept'!$B$20:$H$20</c:f>
              <c:numCache>
                <c:formatCode>General</c:formatCode>
                <c:ptCount val="7"/>
                <c:pt idx="0">
                  <c:v>41</c:v>
                </c:pt>
                <c:pt idx="1">
                  <c:v>36</c:v>
                </c:pt>
                <c:pt idx="2">
                  <c:v>27</c:v>
                </c:pt>
                <c:pt idx="3">
                  <c:v>41.3</c:v>
                </c:pt>
                <c:pt idx="4">
                  <c:v>43.5</c:v>
                </c:pt>
                <c:pt idx="5">
                  <c:v>52.8</c:v>
                </c:pt>
                <c:pt idx="6" formatCode="###0.0">
                  <c:v>48.74129734177798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8-4982-9026-35E82AAC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680768"/>
        <c:axId val="803188928"/>
      </c:lineChart>
      <c:catAx>
        <c:axId val="5516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88928"/>
        <c:crosses val="autoZero"/>
        <c:auto val="1"/>
        <c:lblAlgn val="ctr"/>
        <c:lblOffset val="100"/>
        <c:noMultiLvlLbl val="0"/>
      </c:catAx>
      <c:valAx>
        <c:axId val="80318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Corruption perceptions for different</a:t>
            </a:r>
            <a:r>
              <a:rPr lang="en-US" baseline="0"/>
              <a:t> structures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corruptness_of_officials!$I$14</c:f>
              <c:strCache>
                <c:ptCount val="1"/>
                <c:pt idx="0">
                  <c:v>Specific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corruptness_of_officials!$H$15:$H$28</c:f>
              <c:strCache>
                <c:ptCount val="14"/>
                <c:pt idx="0">
                  <c:v>Members of parliament </c:v>
                </c:pt>
                <c:pt idx="1">
                  <c:v>MPs + Ministers</c:v>
                </c:pt>
                <c:pt idx="2">
                  <c:v>Customs officers </c:v>
                </c:pt>
                <c:pt idx="3">
                  <c:v>Ministers </c:v>
                </c:pt>
                <c:pt idx="4">
                  <c:v>Officials at ministries </c:v>
                </c:pt>
                <c:pt idx="5">
                  <c:v>MPs, ministers, party and local political leaders</c:v>
                </c:pt>
                <c:pt idx="6">
                  <c:v>ministries, state agencies</c:v>
                </c:pt>
                <c:pt idx="7">
                  <c:v>municipal officials, municipal councilors</c:v>
                </c:pt>
                <c:pt idx="8">
                  <c:v>judicial administration, judges, prosecutors, investigators</c:v>
                </c:pt>
                <c:pt idx="9">
                  <c:v>police, customs, tax</c:v>
                </c:pt>
                <c:pt idx="10">
                  <c:v>lawyers, doctors, bankers</c:v>
                </c:pt>
                <c:pt idx="11">
                  <c:v>journalists, teachers, university officials</c:v>
                </c:pt>
                <c:pt idx="12">
                  <c:v>Business people</c:v>
                </c:pt>
                <c:pt idx="13">
                  <c:v>NGO representatives</c:v>
                </c:pt>
              </c:strCache>
            </c:strRef>
          </c:cat>
          <c:val>
            <c:numRef>
              <c:f>corruptness_of_officials!$I$15:$I$28</c:f>
              <c:numCache>
                <c:formatCode>General</c:formatCode>
                <c:ptCount val="14"/>
                <c:pt idx="0">
                  <c:v>3.4047920379936265</c:v>
                </c:pt>
                <c:pt idx="1">
                  <c:v>3.3437767860660923</c:v>
                </c:pt>
                <c:pt idx="2">
                  <c:v>3.2532112794338235</c:v>
                </c:pt>
                <c:pt idx="3">
                  <c:v>3.3285000114199055</c:v>
                </c:pt>
                <c:pt idx="4">
                  <c:v>3.1312011906077686</c:v>
                </c:pt>
                <c:pt idx="5">
                  <c:v>3.2910859845395746</c:v>
                </c:pt>
                <c:pt idx="6">
                  <c:v>3.0330195174688628</c:v>
                </c:pt>
                <c:pt idx="7">
                  <c:v>3.0509967761966061</c:v>
                </c:pt>
                <c:pt idx="8">
                  <c:v>3.1023484400299433</c:v>
                </c:pt>
                <c:pt idx="9">
                  <c:v>3.0663365977309027</c:v>
                </c:pt>
                <c:pt idx="10">
                  <c:v>2.6878069791676236</c:v>
                </c:pt>
                <c:pt idx="11">
                  <c:v>2.3985855398177094</c:v>
                </c:pt>
                <c:pt idx="12">
                  <c:v>2.9786482445023577</c:v>
                </c:pt>
                <c:pt idx="13">
                  <c:v>2.8228093497297242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D-48E4-8119-8C1204913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81040"/>
        <c:axId val="326832656"/>
      </c:barChart>
      <c:lineChart>
        <c:grouping val="standard"/>
        <c:varyColors val="0"/>
        <c:ser>
          <c:idx val="1"/>
          <c:order val="1"/>
          <c:tx>
            <c:strRef>
              <c:f>corruptness_of_officials!$J$14</c:f>
              <c:strCache>
                <c:ptCount val="1"/>
                <c:pt idx="0">
                  <c:v>Average levels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corruptness_of_officials!$H$15:$H$28</c:f>
              <c:strCache>
                <c:ptCount val="14"/>
                <c:pt idx="0">
                  <c:v>Members of parliament </c:v>
                </c:pt>
                <c:pt idx="1">
                  <c:v>MPs + Ministers</c:v>
                </c:pt>
                <c:pt idx="2">
                  <c:v>Customs officers </c:v>
                </c:pt>
                <c:pt idx="3">
                  <c:v>Ministers </c:v>
                </c:pt>
                <c:pt idx="4">
                  <c:v>Officials at ministries </c:v>
                </c:pt>
                <c:pt idx="5">
                  <c:v>MPs, ministers, party and local political leaders</c:v>
                </c:pt>
                <c:pt idx="6">
                  <c:v>ministries, state agencies</c:v>
                </c:pt>
                <c:pt idx="7">
                  <c:v>municipal officials, municipal councilors</c:v>
                </c:pt>
                <c:pt idx="8">
                  <c:v>judicial administration, judges, prosecutors, investigators</c:v>
                </c:pt>
                <c:pt idx="9">
                  <c:v>police, customs, tax</c:v>
                </c:pt>
                <c:pt idx="10">
                  <c:v>lawyers, doctors, bankers</c:v>
                </c:pt>
                <c:pt idx="11">
                  <c:v>journalists, teachers, university officials</c:v>
                </c:pt>
                <c:pt idx="12">
                  <c:v>Business people</c:v>
                </c:pt>
                <c:pt idx="13">
                  <c:v>NGO representatives</c:v>
                </c:pt>
              </c:strCache>
            </c:strRef>
          </c:cat>
          <c:val>
            <c:numRef>
              <c:f>corruptness_of_officials!$J$15:$J$28</c:f>
              <c:numCache>
                <c:formatCode>General</c:formatCode>
                <c:ptCount val="14"/>
                <c:pt idx="0">
                  <c:v>2.9386192785353851</c:v>
                </c:pt>
                <c:pt idx="1">
                  <c:v>2.9386192785353851</c:v>
                </c:pt>
                <c:pt idx="2">
                  <c:v>2.9386192785353851</c:v>
                </c:pt>
                <c:pt idx="3">
                  <c:v>2.93861927853539</c:v>
                </c:pt>
                <c:pt idx="4">
                  <c:v>2.93861927853539</c:v>
                </c:pt>
                <c:pt idx="5">
                  <c:v>2.93861927853539</c:v>
                </c:pt>
                <c:pt idx="6">
                  <c:v>2.93861927853539</c:v>
                </c:pt>
                <c:pt idx="7">
                  <c:v>2.93861927853539</c:v>
                </c:pt>
                <c:pt idx="8">
                  <c:v>2.93861927853539</c:v>
                </c:pt>
                <c:pt idx="9">
                  <c:v>2.93861927853539</c:v>
                </c:pt>
                <c:pt idx="10">
                  <c:v>2.93861927853539</c:v>
                </c:pt>
                <c:pt idx="11">
                  <c:v>2.93861927853539</c:v>
                </c:pt>
                <c:pt idx="12">
                  <c:v>2.93861927853539</c:v>
                </c:pt>
                <c:pt idx="13">
                  <c:v>2.93861927853539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D-48E4-8119-8C1204913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81040"/>
        <c:axId val="326832656"/>
      </c:lineChart>
      <c:catAx>
        <c:axId val="1043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32656"/>
        <c:crosses val="autoZero"/>
        <c:auto val="1"/>
        <c:lblAlgn val="ctr"/>
        <c:lblOffset val="100"/>
        <c:noMultiLvlLbl val="0"/>
      </c:catAx>
      <c:valAx>
        <c:axId val="32683265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373659</xdr:colOff>
      <xdr:row>12</xdr:row>
      <xdr:rowOff>281743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C875E-EE10-4425-895B-059D58818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079259" cy="3169920"/>
        </a:xfrm>
        <a:prstGeom prst="rect">
          <a:avLst/>
        </a:prstGeom>
      </xdr:spPr>
    </xdr:pic>
    <xdr:clientData/>
  </xdr:twoCellAnchor>
  <xdr:twoCellAnchor>
    <xdr:from>
      <xdr:col>0</xdr:col>
      <xdr:colOff>45720</xdr:colOff>
      <xdr:row>22</xdr:row>
      <xdr:rowOff>144780</xdr:rowOff>
    </xdr:from>
    <xdr:to>
      <xdr:col>9</xdr:col>
      <xdr:colOff>487680</xdr:colOff>
      <xdr:row>42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6FB4FA-76B4-4DCE-844F-12C1BF5A1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205740</xdr:colOff>
      <xdr:row>0</xdr:row>
      <xdr:rowOff>91440</xdr:rowOff>
    </xdr:from>
    <xdr:to>
      <xdr:col>16</xdr:col>
      <xdr:colOff>158789</xdr:colOff>
      <xdr:row>12</xdr:row>
      <xdr:rowOff>514890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FE5C8-351F-4A08-90BB-794EEF70C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2540" y="91440"/>
          <a:ext cx="4829849" cy="3867690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12</xdr:row>
      <xdr:rowOff>548640</xdr:rowOff>
    </xdr:from>
    <xdr:to>
      <xdr:col>15</xdr:col>
      <xdr:colOff>472440</xdr:colOff>
      <xdr:row>25</xdr:row>
      <xdr:rowOff>266700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C8654A-2F2D-4ED1-9665-48C23DAF1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0</xdr:row>
      <xdr:rowOff>0</xdr:rowOff>
    </xdr:from>
    <xdr:to>
      <xdr:col>13</xdr:col>
      <xdr:colOff>191042</xdr:colOff>
      <xdr:row>12</xdr:row>
      <xdr:rowOff>95694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8AFE-2285-4B9B-8384-67A4E62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0"/>
          <a:ext cx="3886742" cy="31817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0</xdr:row>
      <xdr:rowOff>99060</xdr:rowOff>
    </xdr:from>
    <xdr:to>
      <xdr:col>13</xdr:col>
      <xdr:colOff>232950</xdr:colOff>
      <xdr:row>16</xdr:row>
      <xdr:rowOff>36688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C1270-2F97-4F1F-B727-CF8AE1E2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0060" y="99060"/>
          <a:ext cx="3867690" cy="35342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200563</xdr:colOff>
      <xdr:row>11</xdr:row>
      <xdr:rowOff>187081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BBDEE-D22A-433A-A979-41B41992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0"/>
          <a:ext cx="3858163" cy="2800741"/>
        </a:xfrm>
        <a:prstGeom prst="rect">
          <a:avLst/>
        </a:prstGeom>
      </xdr:spPr>
    </xdr:pic>
    <xdr:clientData/>
  </xdr:twoCellAnchor>
  <xdr:twoCellAnchor>
    <xdr:from>
      <xdr:col>10</xdr:col>
      <xdr:colOff>350520</xdr:colOff>
      <xdr:row>12</xdr:row>
      <xdr:rowOff>179070</xdr:rowOff>
    </xdr:from>
    <xdr:to>
      <xdr:col>19</xdr:col>
      <xdr:colOff>304800</xdr:colOff>
      <xdr:row>27</xdr:row>
      <xdr:rowOff>274320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F64AED-06CB-48D0-962E-15027DBB9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1A3E-7695-401F-BD7B-71112A8EF56E}">
  <dimension ref="A1:AD47"/>
  <sheetViews>
    <sheetView zoomScale="77" workbookViewId="0">
      <selection activeCell="AB14" sqref="AB14:AB17"/>
    </sheetView>
  </sheetViews>
  <sheetFormatPr defaultRowHeight="14.4" x14ac:dyDescent="0.3"/>
  <sheetData>
    <row r="1" spans="14:30" x14ac:dyDescent="0.3">
      <c r="N1" s="219" t="s">
        <v>4</v>
      </c>
      <c r="O1" s="219"/>
      <c r="P1" s="219"/>
      <c r="Q1" s="219"/>
      <c r="R1" s="219"/>
      <c r="S1" s="219"/>
      <c r="T1" s="3"/>
    </row>
    <row r="2" spans="14:30" ht="24" x14ac:dyDescent="0.3">
      <c r="N2" s="220" t="s">
        <v>3</v>
      </c>
      <c r="O2" s="220"/>
      <c r="P2" s="4" t="s">
        <v>5</v>
      </c>
      <c r="Q2" s="5" t="s">
        <v>6</v>
      </c>
      <c r="R2" s="5" t="s">
        <v>7</v>
      </c>
      <c r="S2" s="6" t="s">
        <v>8</v>
      </c>
      <c r="T2" s="3"/>
      <c r="V2" s="219" t="s">
        <v>80</v>
      </c>
      <c r="W2" s="219"/>
      <c r="X2" s="219"/>
      <c r="Y2" s="219"/>
      <c r="Z2" s="219"/>
      <c r="AA2" s="219"/>
      <c r="AB2" s="3"/>
    </row>
    <row r="3" spans="14:30" ht="24" x14ac:dyDescent="0.3">
      <c r="N3" s="221" t="s">
        <v>9</v>
      </c>
      <c r="O3" s="7" t="s">
        <v>10</v>
      </c>
      <c r="P3" s="8">
        <v>348.1575150088994</v>
      </c>
      <c r="Q3" s="9">
        <v>34.335060651765261</v>
      </c>
      <c r="R3" s="9">
        <v>49.703716010109972</v>
      </c>
      <c r="S3" s="10">
        <v>49.703716010109972</v>
      </c>
      <c r="T3" s="3"/>
      <c r="V3" s="220" t="s">
        <v>3</v>
      </c>
      <c r="W3" s="220"/>
      <c r="X3" s="4" t="s">
        <v>5</v>
      </c>
      <c r="Y3" s="5" t="s">
        <v>6</v>
      </c>
      <c r="Z3" s="5" t="s">
        <v>7</v>
      </c>
      <c r="AA3" s="6" t="s">
        <v>8</v>
      </c>
      <c r="AB3" s="3"/>
    </row>
    <row r="4" spans="14:30" ht="22.8" x14ac:dyDescent="0.3">
      <c r="N4" s="222"/>
      <c r="O4" s="19" t="s">
        <v>11</v>
      </c>
      <c r="P4" s="20">
        <v>352.30825084668072</v>
      </c>
      <c r="Q4" s="172">
        <v>34.744403436556311</v>
      </c>
      <c r="R4" s="13">
        <v>50.296283989890036</v>
      </c>
      <c r="S4" s="14">
        <v>100</v>
      </c>
      <c r="T4" s="3"/>
      <c r="V4" s="221" t="s">
        <v>9</v>
      </c>
      <c r="W4" s="167" t="s">
        <v>10</v>
      </c>
      <c r="X4" s="8">
        <v>516.71157227716287</v>
      </c>
      <c r="Y4" s="9">
        <v>51.159561611599933</v>
      </c>
      <c r="Z4" s="9">
        <v>63.618279881871707</v>
      </c>
      <c r="AA4" s="10">
        <v>63.618279881871707</v>
      </c>
      <c r="AB4" s="3"/>
    </row>
    <row r="5" spans="14:30" x14ac:dyDescent="0.3">
      <c r="N5" s="222"/>
      <c r="O5" s="11" t="s">
        <v>14</v>
      </c>
      <c r="P5" s="12">
        <v>700.46576585558012</v>
      </c>
      <c r="Q5" s="13">
        <v>69.079464088321572</v>
      </c>
      <c r="R5" s="13">
        <v>100</v>
      </c>
      <c r="S5" s="22"/>
      <c r="T5" s="3"/>
      <c r="V5" s="222"/>
      <c r="W5" s="168" t="s">
        <v>11</v>
      </c>
      <c r="X5" s="12">
        <v>295.49456287236978</v>
      </c>
      <c r="Y5" s="21">
        <v>29.256887413105719</v>
      </c>
      <c r="Z5" s="13">
        <v>36.381720118128293</v>
      </c>
      <c r="AA5" s="14">
        <v>100</v>
      </c>
      <c r="AB5" s="3"/>
    </row>
    <row r="6" spans="14:30" x14ac:dyDescent="0.3">
      <c r="N6" s="222" t="s">
        <v>15</v>
      </c>
      <c r="O6" s="11" t="s">
        <v>12</v>
      </c>
      <c r="P6" s="12">
        <v>8.097256959304719</v>
      </c>
      <c r="Q6" s="13">
        <v>0.79854605121348377</v>
      </c>
      <c r="R6" s="23"/>
      <c r="S6" s="22"/>
      <c r="T6" s="3"/>
      <c r="V6" s="222"/>
      <c r="W6" s="168" t="s">
        <v>14</v>
      </c>
      <c r="X6" s="12">
        <v>812.20613514953266</v>
      </c>
      <c r="Y6" s="13">
        <v>80.416449024705656</v>
      </c>
      <c r="Z6" s="13">
        <v>100</v>
      </c>
      <c r="AA6" s="22"/>
      <c r="AB6" s="3"/>
    </row>
    <row r="7" spans="14:30" ht="22.8" x14ac:dyDescent="0.3">
      <c r="N7" s="222"/>
      <c r="O7" s="11" t="s">
        <v>13</v>
      </c>
      <c r="P7" s="12">
        <v>305.43697718511817</v>
      </c>
      <c r="Q7" s="13">
        <v>30.12198986046533</v>
      </c>
      <c r="R7" s="23"/>
      <c r="S7" s="22"/>
      <c r="T7" s="3"/>
      <c r="V7" s="222" t="s">
        <v>15</v>
      </c>
      <c r="W7" s="168" t="s">
        <v>12</v>
      </c>
      <c r="X7" s="12">
        <v>1.7776783790598909</v>
      </c>
      <c r="Y7" s="13">
        <v>0.17600776030295831</v>
      </c>
      <c r="Z7" s="23"/>
      <c r="AA7" s="22"/>
      <c r="AB7" s="3"/>
    </row>
    <row r="8" spans="14:30" ht="22.8" x14ac:dyDescent="0.3">
      <c r="N8" s="222"/>
      <c r="O8" s="11" t="s">
        <v>14</v>
      </c>
      <c r="P8" s="12">
        <v>313.5342341444229</v>
      </c>
      <c r="Q8" s="13">
        <v>30.920535911678815</v>
      </c>
      <c r="R8" s="23"/>
      <c r="S8" s="22"/>
      <c r="T8" s="3"/>
      <c r="V8" s="222"/>
      <c r="W8" s="168" t="s">
        <v>13</v>
      </c>
      <c r="X8" s="12">
        <v>196.01618647140856</v>
      </c>
      <c r="Y8" s="13">
        <v>19.407543214990817</v>
      </c>
      <c r="Z8" s="23"/>
      <c r="AA8" s="22"/>
      <c r="AB8" s="3"/>
    </row>
    <row r="9" spans="14:30" x14ac:dyDescent="0.3">
      <c r="N9" s="223" t="s">
        <v>14</v>
      </c>
      <c r="O9" s="223"/>
      <c r="P9" s="16">
        <v>1013.9999999999991</v>
      </c>
      <c r="Q9" s="17">
        <v>100</v>
      </c>
      <c r="R9" s="24"/>
      <c r="S9" s="18"/>
      <c r="T9" s="3"/>
      <c r="V9" s="222"/>
      <c r="W9" s="168" t="s">
        <v>14</v>
      </c>
      <c r="X9" s="12">
        <v>197.79386485046845</v>
      </c>
      <c r="Y9" s="13">
        <v>19.583550975293772</v>
      </c>
      <c r="Z9" s="23"/>
      <c r="AA9" s="22"/>
      <c r="AB9" s="3"/>
    </row>
    <row r="10" spans="14:30" x14ac:dyDescent="0.3">
      <c r="V10" s="223" t="s">
        <v>14</v>
      </c>
      <c r="W10" s="223"/>
      <c r="X10" s="16">
        <v>1010.0000000000068</v>
      </c>
      <c r="Y10" s="17">
        <v>100</v>
      </c>
      <c r="Z10" s="24"/>
      <c r="AA10" s="18"/>
      <c r="AB10" s="3"/>
    </row>
    <row r="11" spans="14:30" x14ac:dyDescent="0.3">
      <c r="N11" s="219" t="s">
        <v>16</v>
      </c>
      <c r="O11" s="219"/>
      <c r="P11" s="219"/>
      <c r="Q11" s="219"/>
      <c r="R11" s="219"/>
      <c r="S11" s="219"/>
      <c r="T11" s="3"/>
    </row>
    <row r="12" spans="14:30" ht="24" x14ac:dyDescent="0.3">
      <c r="N12" s="220" t="s">
        <v>3</v>
      </c>
      <c r="O12" s="220"/>
      <c r="P12" s="4" t="s">
        <v>5</v>
      </c>
      <c r="Q12" s="5" t="s">
        <v>6</v>
      </c>
      <c r="R12" s="5" t="s">
        <v>7</v>
      </c>
      <c r="S12" s="6" t="s">
        <v>8</v>
      </c>
      <c r="T12" s="3"/>
      <c r="X12" s="219" t="s">
        <v>81</v>
      </c>
      <c r="Y12" s="219"/>
      <c r="Z12" s="219"/>
      <c r="AA12" s="219"/>
      <c r="AB12" s="219"/>
      <c r="AC12" s="219"/>
      <c r="AD12" s="3"/>
    </row>
    <row r="13" spans="14:30" ht="34.200000000000003" x14ac:dyDescent="0.3">
      <c r="N13" s="221" t="s">
        <v>9</v>
      </c>
      <c r="O13" s="7" t="s">
        <v>17</v>
      </c>
      <c r="P13" s="8">
        <v>269.25794015853512</v>
      </c>
      <c r="Q13" s="9">
        <v>26.55403749097982</v>
      </c>
      <c r="R13" s="9">
        <v>26.554037490979692</v>
      </c>
      <c r="S13" s="10">
        <v>26.554037490979692</v>
      </c>
      <c r="T13" s="3"/>
      <c r="X13" s="220" t="s">
        <v>3</v>
      </c>
      <c r="Y13" s="220"/>
      <c r="Z13" s="4" t="s">
        <v>5</v>
      </c>
      <c r="AA13" s="5" t="s">
        <v>6</v>
      </c>
      <c r="AB13" s="5" t="s">
        <v>7</v>
      </c>
      <c r="AC13" s="6" t="s">
        <v>8</v>
      </c>
      <c r="AD13" s="3"/>
    </row>
    <row r="14" spans="14:30" ht="45.6" x14ac:dyDescent="0.3">
      <c r="N14" s="222"/>
      <c r="O14" s="170" t="s">
        <v>18</v>
      </c>
      <c r="P14" s="173">
        <v>423.7550505573048</v>
      </c>
      <c r="Q14" s="172">
        <v>41.790438910976839</v>
      </c>
      <c r="R14" s="13">
        <v>41.790438910976647</v>
      </c>
      <c r="S14" s="14">
        <v>68.344476401956342</v>
      </c>
      <c r="T14" s="3"/>
      <c r="X14" s="221" t="s">
        <v>9</v>
      </c>
      <c r="Y14" s="167" t="s">
        <v>17</v>
      </c>
      <c r="Z14" s="8">
        <v>410.56349882046788</v>
      </c>
      <c r="AA14" s="9">
        <v>40.649851368362881</v>
      </c>
      <c r="AB14" s="9">
        <v>50.788431169816803</v>
      </c>
      <c r="AC14" s="10">
        <v>50.788431169816803</v>
      </c>
      <c r="AD14" s="3"/>
    </row>
    <row r="15" spans="14:30" ht="45.6" x14ac:dyDescent="0.3">
      <c r="N15" s="222"/>
      <c r="O15" s="11" t="s">
        <v>19</v>
      </c>
      <c r="P15" s="12">
        <v>305.43697718511817</v>
      </c>
      <c r="Q15" s="13">
        <v>30.12198986046533</v>
      </c>
      <c r="R15" s="13">
        <v>30.121989860465188</v>
      </c>
      <c r="S15" s="14">
        <v>98.46646626242152</v>
      </c>
      <c r="T15" s="3"/>
      <c r="X15" s="222"/>
      <c r="Y15" s="168" t="s">
        <v>18</v>
      </c>
      <c r="Z15" s="12">
        <v>397.81645969351501</v>
      </c>
      <c r="AA15" s="21">
        <v>39.38776828648637</v>
      </c>
      <c r="AB15" s="13">
        <v>49.21156883018319</v>
      </c>
      <c r="AC15" s="14">
        <v>100</v>
      </c>
      <c r="AD15" s="3"/>
    </row>
    <row r="16" spans="14:30" x14ac:dyDescent="0.3">
      <c r="N16" s="222"/>
      <c r="O16" s="11" t="s">
        <v>12</v>
      </c>
      <c r="P16" s="12">
        <v>15.550032099045751</v>
      </c>
      <c r="Q16" s="13">
        <v>1.5335337375784777</v>
      </c>
      <c r="R16" s="13">
        <v>1.5335337375784706</v>
      </c>
      <c r="S16" s="14">
        <v>100</v>
      </c>
      <c r="T16" s="3"/>
      <c r="X16" s="222"/>
      <c r="Y16" s="168" t="s">
        <v>14</v>
      </c>
      <c r="Z16" s="12">
        <v>808.37995851398296</v>
      </c>
      <c r="AA16" s="13">
        <v>80.037619654849252</v>
      </c>
      <c r="AB16" s="13">
        <v>100</v>
      </c>
      <c r="AC16" s="22"/>
      <c r="AD16" s="3"/>
    </row>
    <row r="17" spans="1:30" ht="45.6" x14ac:dyDescent="0.3">
      <c r="N17" s="223"/>
      <c r="O17" s="15" t="s">
        <v>14</v>
      </c>
      <c r="P17" s="16">
        <v>1014.0000000000039</v>
      </c>
      <c r="Q17" s="17">
        <v>100.00000000000047</v>
      </c>
      <c r="R17" s="17">
        <v>100</v>
      </c>
      <c r="S17" s="18"/>
      <c r="T17" s="3"/>
      <c r="X17" s="222" t="s">
        <v>15</v>
      </c>
      <c r="Y17" s="168" t="s">
        <v>19</v>
      </c>
      <c r="Z17" s="12">
        <v>196.01618647140856</v>
      </c>
      <c r="AA17" s="13">
        <v>19.407543214990817</v>
      </c>
      <c r="AB17" s="23"/>
      <c r="AC17" s="22"/>
      <c r="AD17" s="3"/>
    </row>
    <row r="18" spans="1:30" x14ac:dyDescent="0.3">
      <c r="N18" s="25"/>
      <c r="O18" s="25"/>
      <c r="P18" s="26"/>
      <c r="Q18" s="27"/>
      <c r="R18" s="27"/>
      <c r="S18" s="28"/>
      <c r="T18" s="3"/>
      <c r="X18" s="222"/>
      <c r="Y18" s="168" t="s">
        <v>12</v>
      </c>
      <c r="Z18" s="12">
        <v>5.6038550146097004</v>
      </c>
      <c r="AA18" s="13">
        <v>0.55483713015937253</v>
      </c>
      <c r="AB18" s="23"/>
      <c r="AC18" s="22"/>
      <c r="AD18" s="3"/>
    </row>
    <row r="19" spans="1:30" s="1" customFormat="1" x14ac:dyDescent="0.3">
      <c r="A19" s="1" t="s">
        <v>0</v>
      </c>
      <c r="B19" s="2">
        <v>1999</v>
      </c>
      <c r="C19" s="2">
        <v>2000</v>
      </c>
      <c r="D19" s="2">
        <v>2001</v>
      </c>
      <c r="E19" s="2">
        <v>2002</v>
      </c>
      <c r="F19" s="2">
        <v>2003</v>
      </c>
      <c r="G19" s="2">
        <v>2004</v>
      </c>
      <c r="H19" s="2">
        <v>2005</v>
      </c>
      <c r="I19" s="2">
        <v>2006</v>
      </c>
      <c r="J19" s="2">
        <v>2007</v>
      </c>
      <c r="K19" s="2">
        <v>2008</v>
      </c>
      <c r="L19" s="2">
        <v>2009</v>
      </c>
      <c r="M19" s="2">
        <v>2010</v>
      </c>
      <c r="N19" s="2">
        <v>2011</v>
      </c>
      <c r="O19" s="2">
        <v>2012</v>
      </c>
      <c r="P19" s="2">
        <v>2013</v>
      </c>
      <c r="Q19" s="2">
        <v>2014</v>
      </c>
      <c r="R19" s="2">
        <v>2015</v>
      </c>
      <c r="S19" s="2">
        <v>2016</v>
      </c>
      <c r="T19" s="2">
        <v>2018</v>
      </c>
      <c r="U19" s="2">
        <v>2023</v>
      </c>
      <c r="V19" s="2">
        <v>2025</v>
      </c>
      <c r="X19" s="222"/>
      <c r="Y19" s="168" t="s">
        <v>14</v>
      </c>
      <c r="Z19" s="12">
        <v>201.62004148601827</v>
      </c>
      <c r="AA19" s="13">
        <v>19.962380345150187</v>
      </c>
      <c r="AB19" s="23"/>
      <c r="AC19" s="22"/>
      <c r="AD19" s="6"/>
    </row>
    <row r="20" spans="1:30" s="1" customFormat="1" x14ac:dyDescent="0.3">
      <c r="A20" s="1" t="s">
        <v>1</v>
      </c>
      <c r="B20" s="1">
        <v>28.7</v>
      </c>
      <c r="C20" s="1">
        <v>23.4</v>
      </c>
      <c r="D20" s="1">
        <v>17.399999999999999</v>
      </c>
      <c r="E20" s="1">
        <v>20.3</v>
      </c>
      <c r="F20" s="1">
        <v>15</v>
      </c>
      <c r="G20" s="1">
        <v>15.1</v>
      </c>
      <c r="H20" s="1">
        <v>16.399999999999999</v>
      </c>
      <c r="I20" s="1">
        <v>14.8</v>
      </c>
      <c r="J20" s="1">
        <v>16.5</v>
      </c>
      <c r="K20" s="1">
        <v>17.2</v>
      </c>
      <c r="L20" s="1">
        <v>14.5</v>
      </c>
      <c r="M20" s="1">
        <v>9.6</v>
      </c>
      <c r="N20" s="1">
        <v>9.4</v>
      </c>
      <c r="O20" s="1">
        <v>14.3</v>
      </c>
      <c r="P20" s="1">
        <v>13.6</v>
      </c>
      <c r="Q20" s="169">
        <v>29.3</v>
      </c>
      <c r="R20" s="1">
        <v>18.600000000000001</v>
      </c>
      <c r="S20" s="1">
        <v>22.2</v>
      </c>
      <c r="T20" s="1">
        <v>20.3</v>
      </c>
      <c r="U20" s="1">
        <v>30</v>
      </c>
      <c r="V20" s="171">
        <f>Q4</f>
        <v>34.744403436556311</v>
      </c>
      <c r="X20" s="223" t="s">
        <v>14</v>
      </c>
      <c r="Y20" s="223"/>
      <c r="Z20" s="16">
        <v>1010.0000000000068</v>
      </c>
      <c r="AA20" s="17">
        <v>100</v>
      </c>
      <c r="AB20" s="24"/>
      <c r="AC20" s="18"/>
      <c r="AD20" s="6"/>
    </row>
    <row r="21" spans="1:30" s="1" customFormat="1" x14ac:dyDescent="0.3">
      <c r="A21" s="1" t="s">
        <v>2</v>
      </c>
      <c r="B21" s="1">
        <v>34.200000000000003</v>
      </c>
      <c r="C21" s="1">
        <v>31</v>
      </c>
      <c r="D21" s="1">
        <v>22.6</v>
      </c>
      <c r="E21" s="1">
        <v>27.5</v>
      </c>
      <c r="F21" s="1">
        <v>22.8</v>
      </c>
      <c r="G21" s="1">
        <v>22.1</v>
      </c>
      <c r="H21" s="1">
        <v>25.2</v>
      </c>
      <c r="I21" s="1">
        <v>20.3</v>
      </c>
      <c r="J21" s="1">
        <v>21</v>
      </c>
      <c r="K21" s="1">
        <v>21.4</v>
      </c>
      <c r="L21" s="1">
        <v>18.3</v>
      </c>
      <c r="M21" s="1">
        <v>12.4</v>
      </c>
      <c r="N21" s="1">
        <v>14.4</v>
      </c>
      <c r="O21" s="1">
        <v>20.6</v>
      </c>
      <c r="P21" s="1">
        <v>18.8</v>
      </c>
      <c r="Q21" s="169">
        <v>39.4</v>
      </c>
      <c r="R21" s="1">
        <v>27.7</v>
      </c>
      <c r="S21" s="1">
        <v>24.4</v>
      </c>
      <c r="T21" s="1">
        <v>28.2</v>
      </c>
      <c r="U21" s="1">
        <v>35</v>
      </c>
      <c r="V21" s="171">
        <f>Q14</f>
        <v>41.790438910976839</v>
      </c>
    </row>
    <row r="22" spans="1:30" s="1" customFormat="1" x14ac:dyDescent="0.3">
      <c r="A22" s="2"/>
    </row>
    <row r="23" spans="1:30" s="1" customFormat="1" x14ac:dyDescent="0.3">
      <c r="A23" s="2"/>
    </row>
    <row r="24" spans="1:30" s="1" customFormat="1" x14ac:dyDescent="0.3">
      <c r="A24" s="2"/>
      <c r="N24" s="214" t="s">
        <v>82</v>
      </c>
      <c r="O24" s="214"/>
      <c r="P24" s="214"/>
      <c r="Q24" s="214"/>
      <c r="R24" s="214"/>
      <c r="S24" s="214"/>
      <c r="T24" s="174"/>
    </row>
    <row r="25" spans="1:30" s="1" customFormat="1" ht="24" x14ac:dyDescent="0.3">
      <c r="A25" s="2"/>
      <c r="N25" s="215" t="s">
        <v>3</v>
      </c>
      <c r="O25" s="215"/>
      <c r="P25" s="175" t="s">
        <v>5</v>
      </c>
      <c r="Q25" s="176" t="s">
        <v>6</v>
      </c>
      <c r="R25" s="176" t="s">
        <v>7</v>
      </c>
      <c r="S25" s="177" t="s">
        <v>8</v>
      </c>
      <c r="T25" s="177"/>
    </row>
    <row r="26" spans="1:30" s="1" customFormat="1" ht="34.200000000000003" x14ac:dyDescent="0.3">
      <c r="A26" s="2"/>
      <c r="N26" s="216" t="s">
        <v>9</v>
      </c>
      <c r="O26" s="178" t="s">
        <v>17</v>
      </c>
      <c r="P26" s="179">
        <v>269.25794015853489</v>
      </c>
      <c r="Q26" s="180">
        <v>26.554037490979709</v>
      </c>
      <c r="R26" s="180">
        <v>38.853231290860649</v>
      </c>
      <c r="S26" s="181">
        <v>38.853231290860649</v>
      </c>
      <c r="T26" s="177"/>
    </row>
    <row r="27" spans="1:30" s="1" customFormat="1" ht="45.6" x14ac:dyDescent="0.3">
      <c r="A27" s="2"/>
      <c r="N27" s="217"/>
      <c r="O27" s="210" t="s">
        <v>18</v>
      </c>
      <c r="P27" s="211">
        <v>423.75505055730241</v>
      </c>
      <c r="Q27" s="212">
        <v>41.790438910976469</v>
      </c>
      <c r="R27" s="184">
        <v>61.146768709139351</v>
      </c>
      <c r="S27" s="185">
        <v>100</v>
      </c>
      <c r="T27" s="177"/>
    </row>
    <row r="28" spans="1:30" s="1" customFormat="1" x14ac:dyDescent="0.3">
      <c r="A28" s="2"/>
      <c r="N28" s="217"/>
      <c r="O28" s="182" t="s">
        <v>14</v>
      </c>
      <c r="P28" s="183">
        <v>693.0129907158373</v>
      </c>
      <c r="Q28" s="184">
        <v>68.344476401956172</v>
      </c>
      <c r="R28" s="184">
        <v>100</v>
      </c>
      <c r="S28" s="186"/>
      <c r="T28" s="177"/>
    </row>
    <row r="29" spans="1:30" s="1" customFormat="1" ht="45.6" x14ac:dyDescent="0.3">
      <c r="A29" s="2"/>
      <c r="N29" s="217" t="s">
        <v>15</v>
      </c>
      <c r="O29" s="182" t="s">
        <v>19</v>
      </c>
      <c r="P29" s="183">
        <v>289.43988549233217</v>
      </c>
      <c r="Q29" s="184">
        <v>28.54436740555537</v>
      </c>
      <c r="R29" s="187"/>
      <c r="S29" s="186"/>
      <c r="T29" s="177"/>
    </row>
    <row r="30" spans="1:30" s="1" customFormat="1" x14ac:dyDescent="0.3">
      <c r="A30" s="2"/>
      <c r="N30" s="217"/>
      <c r="O30" s="182" t="s">
        <v>12</v>
      </c>
      <c r="P30" s="183">
        <v>31.547123791830455</v>
      </c>
      <c r="Q30" s="184">
        <v>3.111156192488203</v>
      </c>
      <c r="R30" s="187"/>
      <c r="S30" s="186"/>
      <c r="T30" s="177"/>
    </row>
    <row r="31" spans="1:30" s="1" customFormat="1" x14ac:dyDescent="0.3">
      <c r="A31" s="2"/>
      <c r="N31" s="217"/>
      <c r="O31" s="182" t="s">
        <v>14</v>
      </c>
      <c r="P31" s="183">
        <v>320.98700928416264</v>
      </c>
      <c r="Q31" s="184">
        <v>31.65552359804358</v>
      </c>
      <c r="R31" s="187"/>
      <c r="S31" s="186"/>
      <c r="T31" s="177"/>
    </row>
    <row r="32" spans="1:30" s="1" customFormat="1" x14ac:dyDescent="0.3">
      <c r="A32" s="2"/>
      <c r="N32" s="218" t="s">
        <v>14</v>
      </c>
      <c r="O32" s="218"/>
      <c r="P32" s="188">
        <v>1014.0000000000024</v>
      </c>
      <c r="Q32" s="189">
        <v>100</v>
      </c>
      <c r="R32" s="190"/>
      <c r="S32" s="191"/>
      <c r="T32" s="177"/>
    </row>
    <row r="33" spans="1:1" s="1" customFormat="1" x14ac:dyDescent="0.3">
      <c r="A33" s="2"/>
    </row>
    <row r="34" spans="1:1" s="1" customFormat="1" x14ac:dyDescent="0.3">
      <c r="A34" s="2"/>
    </row>
    <row r="35" spans="1:1" s="1" customFormat="1" x14ac:dyDescent="0.3">
      <c r="A35" s="2"/>
    </row>
    <row r="36" spans="1:1" s="1" customFormat="1" x14ac:dyDescent="0.3">
      <c r="A36" s="2"/>
    </row>
    <row r="37" spans="1:1" s="1" customFormat="1" x14ac:dyDescent="0.3">
      <c r="A37" s="2"/>
    </row>
    <row r="38" spans="1:1" s="1" customFormat="1" x14ac:dyDescent="0.3">
      <c r="A38" s="2"/>
    </row>
    <row r="39" spans="1:1" s="1" customFormat="1" x14ac:dyDescent="0.3">
      <c r="A39" s="2"/>
    </row>
    <row r="40" spans="1:1" s="1" customFormat="1" x14ac:dyDescent="0.3">
      <c r="A40" s="2"/>
    </row>
    <row r="41" spans="1:1" s="1" customFormat="1" x14ac:dyDescent="0.3"/>
    <row r="42" spans="1:1" s="1" customFormat="1" x14ac:dyDescent="0.3"/>
    <row r="43" spans="1:1" s="1" customFormat="1" x14ac:dyDescent="0.3"/>
    <row r="44" spans="1:1" s="1" customFormat="1" x14ac:dyDescent="0.3"/>
    <row r="45" spans="1:1" s="1" customFormat="1" x14ac:dyDescent="0.3"/>
    <row r="46" spans="1:1" s="1" customFormat="1" x14ac:dyDescent="0.3"/>
    <row r="47" spans="1:1" s="1" customFormat="1" x14ac:dyDescent="0.3"/>
  </sheetData>
  <mergeCells count="23">
    <mergeCell ref="N11:S11"/>
    <mergeCell ref="N12:O12"/>
    <mergeCell ref="N13:N17"/>
    <mergeCell ref="N1:S1"/>
    <mergeCell ref="N2:O2"/>
    <mergeCell ref="N3:N5"/>
    <mergeCell ref="N6:N8"/>
    <mergeCell ref="N9:O9"/>
    <mergeCell ref="V2:AA2"/>
    <mergeCell ref="V3:W3"/>
    <mergeCell ref="V4:V6"/>
    <mergeCell ref="V7:V9"/>
    <mergeCell ref="V10:W10"/>
    <mergeCell ref="X12:AC12"/>
    <mergeCell ref="X13:Y13"/>
    <mergeCell ref="X14:X16"/>
    <mergeCell ref="X17:X19"/>
    <mergeCell ref="X20:Y20"/>
    <mergeCell ref="N24:S24"/>
    <mergeCell ref="N25:O25"/>
    <mergeCell ref="N26:N28"/>
    <mergeCell ref="N29:N31"/>
    <mergeCell ref="N32:O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B4BC-7A07-449E-AC28-BCEF8223B4EC}">
  <dimension ref="A1:H29"/>
  <sheetViews>
    <sheetView topLeftCell="A10" workbookViewId="0">
      <selection activeCell="G24" sqref="G24"/>
    </sheetView>
  </sheetViews>
  <sheetFormatPr defaultRowHeight="14.4" x14ac:dyDescent="0.3"/>
  <sheetData>
    <row r="1" spans="1:7" x14ac:dyDescent="0.3">
      <c r="A1" s="232" t="s">
        <v>20</v>
      </c>
      <c r="B1" s="232"/>
      <c r="C1" s="232"/>
      <c r="D1" s="232"/>
      <c r="E1" s="232"/>
      <c r="F1" s="232"/>
    </row>
    <row r="2" spans="1:7" ht="24" x14ac:dyDescent="0.3">
      <c r="A2" s="233" t="s">
        <v>3</v>
      </c>
      <c r="B2" s="233"/>
      <c r="C2" s="29" t="s">
        <v>5</v>
      </c>
      <c r="D2" s="30" t="s">
        <v>6</v>
      </c>
      <c r="E2" s="30" t="s">
        <v>7</v>
      </c>
      <c r="F2" s="31" t="s">
        <v>8</v>
      </c>
    </row>
    <row r="3" spans="1:7" ht="34.200000000000003" x14ac:dyDescent="0.3">
      <c r="A3" s="234" t="s">
        <v>9</v>
      </c>
      <c r="B3" s="32" t="s">
        <v>21</v>
      </c>
      <c r="C3" s="33">
        <v>395</v>
      </c>
      <c r="D3" s="34">
        <v>39.186507936507937</v>
      </c>
      <c r="E3" s="35">
        <v>43.454345434543455</v>
      </c>
      <c r="F3" s="36">
        <v>43.454345434543455</v>
      </c>
    </row>
    <row r="4" spans="1:7" ht="45.6" x14ac:dyDescent="0.3">
      <c r="A4" s="235"/>
      <c r="B4" s="37" t="s">
        <v>22</v>
      </c>
      <c r="C4" s="38">
        <v>204</v>
      </c>
      <c r="D4" s="39">
        <v>20.238095238095237</v>
      </c>
      <c r="E4" s="39">
        <v>22.442244224422442</v>
      </c>
      <c r="F4" s="40">
        <v>65.896589658965894</v>
      </c>
    </row>
    <row r="5" spans="1:7" ht="22.8" x14ac:dyDescent="0.3">
      <c r="A5" s="235"/>
      <c r="B5" s="37" t="s">
        <v>23</v>
      </c>
      <c r="C5" s="38">
        <v>310</v>
      </c>
      <c r="D5" s="39">
        <v>30.753968253968257</v>
      </c>
      <c r="E5" s="39">
        <v>34.103410341034099</v>
      </c>
      <c r="F5" s="40">
        <v>100</v>
      </c>
    </row>
    <row r="6" spans="1:7" x14ac:dyDescent="0.3">
      <c r="A6" s="235"/>
      <c r="B6" s="37" t="s">
        <v>14</v>
      </c>
      <c r="C6" s="38">
        <v>909</v>
      </c>
      <c r="D6" s="39">
        <v>90.178571428571431</v>
      </c>
      <c r="E6" s="39">
        <v>100</v>
      </c>
      <c r="F6" s="41"/>
    </row>
    <row r="7" spans="1:7" x14ac:dyDescent="0.3">
      <c r="A7" s="37" t="s">
        <v>15</v>
      </c>
      <c r="B7" s="37" t="s">
        <v>24</v>
      </c>
      <c r="C7" s="38">
        <v>99</v>
      </c>
      <c r="D7" s="39">
        <v>9.8214285714285712</v>
      </c>
      <c r="E7" s="42"/>
      <c r="F7" s="41"/>
    </row>
    <row r="8" spans="1:7" x14ac:dyDescent="0.3">
      <c r="A8" s="236" t="s">
        <v>14</v>
      </c>
      <c r="B8" s="236"/>
      <c r="C8" s="43">
        <v>1008</v>
      </c>
      <c r="D8" s="44">
        <v>100</v>
      </c>
      <c r="E8" s="45"/>
      <c r="F8" s="46"/>
    </row>
    <row r="10" spans="1:7" x14ac:dyDescent="0.3">
      <c r="A10" s="237" t="s">
        <v>25</v>
      </c>
      <c r="B10" s="237"/>
      <c r="C10" s="237"/>
      <c r="D10" s="237"/>
      <c r="E10" s="237"/>
      <c r="F10" s="237"/>
      <c r="G10" s="47"/>
    </row>
    <row r="11" spans="1:7" ht="24" x14ac:dyDescent="0.3">
      <c r="A11" s="238" t="s">
        <v>3</v>
      </c>
      <c r="B11" s="238"/>
      <c r="C11" s="48" t="s">
        <v>5</v>
      </c>
      <c r="D11" s="49" t="s">
        <v>6</v>
      </c>
      <c r="E11" s="49" t="s">
        <v>7</v>
      </c>
      <c r="F11" s="50" t="s">
        <v>8</v>
      </c>
      <c r="G11" s="47"/>
    </row>
    <row r="12" spans="1:7" ht="34.200000000000003" x14ac:dyDescent="0.3">
      <c r="A12" s="229" t="s">
        <v>9</v>
      </c>
      <c r="B12" s="51" t="s">
        <v>21</v>
      </c>
      <c r="C12" s="52">
        <v>472.35504543777256</v>
      </c>
      <c r="D12" s="53">
        <v>46.583337814376037</v>
      </c>
      <c r="E12" s="65">
        <v>48.74129734177798</v>
      </c>
      <c r="F12" s="54">
        <v>48.74129734177798</v>
      </c>
      <c r="G12" s="47"/>
    </row>
    <row r="13" spans="1:7" ht="45.6" x14ac:dyDescent="0.3">
      <c r="A13" s="230"/>
      <c r="B13" s="55" t="s">
        <v>22</v>
      </c>
      <c r="C13" s="56">
        <v>225.24742329222934</v>
      </c>
      <c r="D13" s="57">
        <v>22.213749831580824</v>
      </c>
      <c r="E13" s="57">
        <v>23.242795308729729</v>
      </c>
      <c r="F13" s="58">
        <v>71.984092650507705</v>
      </c>
      <c r="G13" s="47"/>
    </row>
    <row r="14" spans="1:7" ht="22.8" x14ac:dyDescent="0.3">
      <c r="A14" s="230"/>
      <c r="B14" s="55" t="s">
        <v>23</v>
      </c>
      <c r="C14" s="56">
        <v>271.50395887610023</v>
      </c>
      <c r="D14" s="57">
        <v>26.775538350700245</v>
      </c>
      <c r="E14" s="57">
        <v>28.015907349492299</v>
      </c>
      <c r="F14" s="58">
        <v>100</v>
      </c>
      <c r="G14" s="47"/>
    </row>
    <row r="15" spans="1:7" x14ac:dyDescent="0.3">
      <c r="A15" s="230"/>
      <c r="B15" s="55" t="s">
        <v>14</v>
      </c>
      <c r="C15" s="56">
        <v>969.1064276061021</v>
      </c>
      <c r="D15" s="57">
        <v>95.572625996657095</v>
      </c>
      <c r="E15" s="57">
        <v>100</v>
      </c>
      <c r="F15" s="59"/>
      <c r="G15" s="47"/>
    </row>
    <row r="16" spans="1:7" x14ac:dyDescent="0.3">
      <c r="A16" s="55" t="s">
        <v>15</v>
      </c>
      <c r="B16" s="55" t="s">
        <v>24</v>
      </c>
      <c r="C16" s="56">
        <v>44.893572393901536</v>
      </c>
      <c r="D16" s="57">
        <v>4.4273740033433509</v>
      </c>
      <c r="E16" s="60"/>
      <c r="F16" s="59"/>
      <c r="G16" s="47"/>
    </row>
    <row r="17" spans="1:8" x14ac:dyDescent="0.3">
      <c r="A17" s="231" t="s">
        <v>14</v>
      </c>
      <c r="B17" s="231"/>
      <c r="C17" s="61">
        <v>1013.9999999999991</v>
      </c>
      <c r="D17" s="62">
        <v>100</v>
      </c>
      <c r="E17" s="63"/>
      <c r="F17" s="64"/>
      <c r="G17" s="47"/>
    </row>
    <row r="19" spans="1:8" x14ac:dyDescent="0.3">
      <c r="B19">
        <v>2001</v>
      </c>
      <c r="C19">
        <v>2002</v>
      </c>
      <c r="D19">
        <v>2014</v>
      </c>
      <c r="E19">
        <v>2015</v>
      </c>
      <c r="F19">
        <v>2016</v>
      </c>
      <c r="G19">
        <v>2023</v>
      </c>
      <c r="H19">
        <v>2025</v>
      </c>
    </row>
    <row r="20" spans="1:8" ht="34.200000000000003" x14ac:dyDescent="0.3">
      <c r="A20" s="66" t="s">
        <v>26</v>
      </c>
      <c r="B20">
        <v>41</v>
      </c>
      <c r="C20">
        <v>36</v>
      </c>
      <c r="D20">
        <v>27</v>
      </c>
      <c r="E20">
        <v>41.3</v>
      </c>
      <c r="F20">
        <v>43.5</v>
      </c>
      <c r="G20">
        <v>52.8</v>
      </c>
      <c r="H20" s="67">
        <f>E12</f>
        <v>48.74129734177798</v>
      </c>
    </row>
    <row r="22" spans="1:8" x14ac:dyDescent="0.3">
      <c r="A22" s="224" t="s">
        <v>25</v>
      </c>
      <c r="B22" s="224"/>
      <c r="C22" s="224"/>
      <c r="D22" s="224"/>
      <c r="E22" s="224"/>
      <c r="F22" s="224"/>
      <c r="G22" s="192"/>
    </row>
    <row r="23" spans="1:8" ht="24" x14ac:dyDescent="0.3">
      <c r="A23" s="225" t="s">
        <v>3</v>
      </c>
      <c r="B23" s="225"/>
      <c r="C23" s="193" t="s">
        <v>5</v>
      </c>
      <c r="D23" s="194" t="s">
        <v>6</v>
      </c>
      <c r="E23" s="194" t="s">
        <v>7</v>
      </c>
      <c r="F23" s="195" t="s">
        <v>8</v>
      </c>
      <c r="G23" s="192"/>
    </row>
    <row r="24" spans="1:8" ht="34.200000000000003" x14ac:dyDescent="0.3">
      <c r="A24" s="226" t="s">
        <v>9</v>
      </c>
      <c r="B24" s="196" t="s">
        <v>21</v>
      </c>
      <c r="C24" s="197">
        <v>472.35504543777012</v>
      </c>
      <c r="D24" s="198">
        <v>46.583337814375639</v>
      </c>
      <c r="E24" s="213">
        <v>48.741297341777887</v>
      </c>
      <c r="F24" s="199">
        <v>48.741297341777887</v>
      </c>
      <c r="G24" s="192"/>
    </row>
    <row r="25" spans="1:8" ht="45.6" x14ac:dyDescent="0.3">
      <c r="A25" s="227"/>
      <c r="B25" s="200" t="s">
        <v>22</v>
      </c>
      <c r="C25" s="201">
        <v>225.24742329222886</v>
      </c>
      <c r="D25" s="202">
        <v>22.213749831580703</v>
      </c>
      <c r="E25" s="202">
        <v>23.242795308729754</v>
      </c>
      <c r="F25" s="203">
        <v>71.984092650507634</v>
      </c>
      <c r="G25" s="192"/>
    </row>
    <row r="26" spans="1:8" ht="22.8" x14ac:dyDescent="0.3">
      <c r="A26" s="227"/>
      <c r="B26" s="200" t="s">
        <v>23</v>
      </c>
      <c r="C26" s="201">
        <v>271.50395887609989</v>
      </c>
      <c r="D26" s="202">
        <v>26.775538350700124</v>
      </c>
      <c r="E26" s="202">
        <v>28.015907349492359</v>
      </c>
      <c r="F26" s="203">
        <v>100</v>
      </c>
      <c r="G26" s="192"/>
    </row>
    <row r="27" spans="1:8" x14ac:dyDescent="0.3">
      <c r="A27" s="227"/>
      <c r="B27" s="200" t="s">
        <v>14</v>
      </c>
      <c r="C27" s="201">
        <v>969.1064276060988</v>
      </c>
      <c r="D27" s="202">
        <v>95.572625996656456</v>
      </c>
      <c r="E27" s="202">
        <v>100</v>
      </c>
      <c r="F27" s="204"/>
      <c r="G27" s="192"/>
    </row>
    <row r="28" spans="1:8" x14ac:dyDescent="0.3">
      <c r="A28" s="200" t="s">
        <v>15</v>
      </c>
      <c r="B28" s="200" t="s">
        <v>24</v>
      </c>
      <c r="C28" s="201">
        <v>44.893572393901536</v>
      </c>
      <c r="D28" s="202">
        <v>4.4273740033433366</v>
      </c>
      <c r="E28" s="205"/>
      <c r="F28" s="204"/>
      <c r="G28" s="192"/>
    </row>
    <row r="29" spans="1:8" x14ac:dyDescent="0.3">
      <c r="A29" s="228" t="s">
        <v>14</v>
      </c>
      <c r="B29" s="228"/>
      <c r="C29" s="206">
        <v>1014.0000000000024</v>
      </c>
      <c r="D29" s="207">
        <v>100</v>
      </c>
      <c r="E29" s="208"/>
      <c r="F29" s="209"/>
      <c r="G29" s="192"/>
    </row>
  </sheetData>
  <mergeCells count="12">
    <mergeCell ref="A11:B11"/>
    <mergeCell ref="A1:F1"/>
    <mergeCell ref="A2:B2"/>
    <mergeCell ref="A3:A6"/>
    <mergeCell ref="A8:B8"/>
    <mergeCell ref="A10:F10"/>
    <mergeCell ref="A22:F22"/>
    <mergeCell ref="A23:B23"/>
    <mergeCell ref="A24:A27"/>
    <mergeCell ref="A29:B29"/>
    <mergeCell ref="A12:A15"/>
    <mergeCell ref="A17:B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4318-3FD4-42D6-B6FB-EE9DBA9398AB}">
  <dimension ref="A1:G13"/>
  <sheetViews>
    <sheetView topLeftCell="A2" workbookViewId="0">
      <selection activeCell="K27" sqref="K27"/>
    </sheetView>
  </sheetViews>
  <sheetFormatPr defaultRowHeight="14.4" x14ac:dyDescent="0.3"/>
  <sheetData>
    <row r="1" spans="1:7" x14ac:dyDescent="0.3">
      <c r="A1" t="s">
        <v>27</v>
      </c>
    </row>
    <row r="3" spans="1:7" x14ac:dyDescent="0.3">
      <c r="A3" s="242" t="s">
        <v>28</v>
      </c>
      <c r="B3" s="242"/>
      <c r="C3" s="242"/>
      <c r="D3" s="242"/>
      <c r="E3" s="242"/>
      <c r="F3" s="242"/>
      <c r="G3" s="68"/>
    </row>
    <row r="4" spans="1:7" ht="24" x14ac:dyDescent="0.3">
      <c r="A4" s="243" t="s">
        <v>3</v>
      </c>
      <c r="B4" s="243"/>
      <c r="C4" s="69" t="s">
        <v>5</v>
      </c>
      <c r="D4" s="70" t="s">
        <v>6</v>
      </c>
      <c r="E4" s="70" t="s">
        <v>7</v>
      </c>
      <c r="F4" s="71" t="s">
        <v>8</v>
      </c>
      <c r="G4" s="68"/>
    </row>
    <row r="5" spans="1:7" ht="45.6" x14ac:dyDescent="0.3">
      <c r="A5" s="244" t="s">
        <v>9</v>
      </c>
      <c r="B5" s="72" t="s">
        <v>29</v>
      </c>
      <c r="C5" s="73">
        <v>703.78993868291184</v>
      </c>
      <c r="D5" s="74">
        <v>69.68217214682258</v>
      </c>
      <c r="E5" s="74">
        <v>69.68217214682268</v>
      </c>
      <c r="F5" s="75">
        <v>69.68217214682268</v>
      </c>
      <c r="G5" s="68"/>
    </row>
    <row r="6" spans="1:7" ht="34.200000000000003" x14ac:dyDescent="0.3">
      <c r="A6" s="245"/>
      <c r="B6" s="76" t="s">
        <v>30</v>
      </c>
      <c r="C6" s="77">
        <v>306.21006131709231</v>
      </c>
      <c r="D6" s="78">
        <v>30.317827853177288</v>
      </c>
      <c r="E6" s="84">
        <v>30.317827853177331</v>
      </c>
      <c r="F6" s="79">
        <v>100</v>
      </c>
      <c r="G6" s="68"/>
    </row>
    <row r="7" spans="1:7" x14ac:dyDescent="0.3">
      <c r="A7" s="246"/>
      <c r="B7" s="80" t="s">
        <v>14</v>
      </c>
      <c r="C7" s="81">
        <v>1010.0000000000041</v>
      </c>
      <c r="D7" s="82">
        <v>99.999999999999858</v>
      </c>
      <c r="E7" s="82">
        <v>100</v>
      </c>
      <c r="F7" s="83"/>
      <c r="G7" s="68"/>
    </row>
    <row r="9" spans="1:7" x14ac:dyDescent="0.3">
      <c r="A9" s="247" t="s">
        <v>63</v>
      </c>
      <c r="B9" s="247"/>
      <c r="C9" s="247"/>
      <c r="D9" s="247"/>
      <c r="E9" s="247"/>
      <c r="F9" s="247"/>
      <c r="G9" s="133"/>
    </row>
    <row r="10" spans="1:7" ht="24" x14ac:dyDescent="0.3">
      <c r="A10" s="248" t="s">
        <v>3</v>
      </c>
      <c r="B10" s="248"/>
      <c r="C10" s="134" t="s">
        <v>5</v>
      </c>
      <c r="D10" s="135" t="s">
        <v>6</v>
      </c>
      <c r="E10" s="135" t="s">
        <v>7</v>
      </c>
      <c r="F10" s="136" t="s">
        <v>8</v>
      </c>
      <c r="G10" s="133"/>
    </row>
    <row r="11" spans="1:7" x14ac:dyDescent="0.3">
      <c r="A11" s="239" t="s">
        <v>9</v>
      </c>
      <c r="B11" s="137" t="s">
        <v>49</v>
      </c>
      <c r="C11" s="138">
        <v>690.57781264847381</v>
      </c>
      <c r="D11" s="139">
        <v>68.104320774011285</v>
      </c>
      <c r="E11" s="139">
        <v>68.104320774011242</v>
      </c>
      <c r="F11" s="140">
        <v>68.104320774011242</v>
      </c>
      <c r="G11" s="133"/>
    </row>
    <row r="12" spans="1:7" x14ac:dyDescent="0.3">
      <c r="A12" s="240"/>
      <c r="B12" s="141" t="s">
        <v>50</v>
      </c>
      <c r="C12" s="142">
        <v>323.42218735152596</v>
      </c>
      <c r="D12" s="143">
        <v>31.895679225988783</v>
      </c>
      <c r="E12" s="149">
        <v>31.895679225988761</v>
      </c>
      <c r="F12" s="144">
        <v>100</v>
      </c>
      <c r="G12" s="133"/>
    </row>
    <row r="13" spans="1:7" x14ac:dyDescent="0.3">
      <c r="A13" s="241"/>
      <c r="B13" s="145" t="s">
        <v>14</v>
      </c>
      <c r="C13" s="146">
        <v>1013.9999999999998</v>
      </c>
      <c r="D13" s="147">
        <v>100.00000000000007</v>
      </c>
      <c r="E13" s="147">
        <v>100</v>
      </c>
      <c r="F13" s="148"/>
      <c r="G13" s="133"/>
    </row>
  </sheetData>
  <mergeCells count="6">
    <mergeCell ref="A11:A13"/>
    <mergeCell ref="A3:F3"/>
    <mergeCell ref="A4:B4"/>
    <mergeCell ref="A5:A7"/>
    <mergeCell ref="A9:F9"/>
    <mergeCell ref="A10:B1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D358-5B86-49E4-9949-327543FAE86D}">
  <dimension ref="A1:G12"/>
  <sheetViews>
    <sheetView tabSelected="1" workbookViewId="0">
      <selection activeCell="O12" sqref="O12"/>
    </sheetView>
  </sheetViews>
  <sheetFormatPr defaultRowHeight="14.4" x14ac:dyDescent="0.3"/>
  <sheetData>
    <row r="1" spans="1:7" x14ac:dyDescent="0.3">
      <c r="A1" t="s">
        <v>33</v>
      </c>
    </row>
    <row r="2" spans="1:7" x14ac:dyDescent="0.3">
      <c r="A2" s="252" t="s">
        <v>64</v>
      </c>
      <c r="B2" s="252"/>
      <c r="C2" s="252"/>
      <c r="D2" s="252"/>
      <c r="E2" s="252"/>
      <c r="F2" s="252"/>
      <c r="G2" s="85"/>
    </row>
    <row r="3" spans="1:7" ht="24" x14ac:dyDescent="0.3">
      <c r="A3" s="253" t="s">
        <v>3</v>
      </c>
      <c r="B3" s="253"/>
      <c r="C3" s="86" t="s">
        <v>5</v>
      </c>
      <c r="D3" s="87" t="s">
        <v>6</v>
      </c>
      <c r="E3" s="87" t="s">
        <v>7</v>
      </c>
      <c r="F3" s="88" t="s">
        <v>8</v>
      </c>
      <c r="G3" s="85"/>
    </row>
    <row r="4" spans="1:7" ht="22.8" x14ac:dyDescent="0.3">
      <c r="A4" s="254" t="s">
        <v>9</v>
      </c>
      <c r="B4" s="89" t="s">
        <v>31</v>
      </c>
      <c r="C4" s="90">
        <v>949.85810122494172</v>
      </c>
      <c r="D4" s="91">
        <v>94.045356556924403</v>
      </c>
      <c r="E4" s="101">
        <v>94.045356556924432</v>
      </c>
      <c r="F4" s="92">
        <v>94.045356556924432</v>
      </c>
      <c r="G4" s="85"/>
    </row>
    <row r="5" spans="1:7" ht="22.8" x14ac:dyDescent="0.3">
      <c r="A5" s="255"/>
      <c r="B5" s="93" t="s">
        <v>32</v>
      </c>
      <c r="C5" s="94">
        <v>60.141898775063488</v>
      </c>
      <c r="D5" s="95">
        <v>5.9546434430755601</v>
      </c>
      <c r="E5" s="95">
        <v>5.9546434430755619</v>
      </c>
      <c r="F5" s="96">
        <v>100</v>
      </c>
      <c r="G5" s="85"/>
    </row>
    <row r="6" spans="1:7" x14ac:dyDescent="0.3">
      <c r="A6" s="256"/>
      <c r="B6" s="97" t="s">
        <v>14</v>
      </c>
      <c r="C6" s="98">
        <v>1010.0000000000052</v>
      </c>
      <c r="D6" s="99">
        <v>99.999999999999972</v>
      </c>
      <c r="E6" s="99">
        <v>100</v>
      </c>
      <c r="F6" s="100"/>
      <c r="G6" s="85"/>
    </row>
    <row r="8" spans="1:7" x14ac:dyDescent="0.3">
      <c r="A8" s="257" t="s">
        <v>62</v>
      </c>
      <c r="B8" s="257"/>
      <c r="C8" s="257"/>
      <c r="D8" s="257"/>
      <c r="E8" s="257"/>
      <c r="F8" s="257"/>
      <c r="G8" s="150"/>
    </row>
    <row r="9" spans="1:7" ht="24" x14ac:dyDescent="0.3">
      <c r="A9" s="258" t="s">
        <v>3</v>
      </c>
      <c r="B9" s="258"/>
      <c r="C9" s="151" t="s">
        <v>5</v>
      </c>
      <c r="D9" s="152" t="s">
        <v>6</v>
      </c>
      <c r="E9" s="152" t="s">
        <v>7</v>
      </c>
      <c r="F9" s="153" t="s">
        <v>8</v>
      </c>
      <c r="G9" s="150"/>
    </row>
    <row r="10" spans="1:7" ht="22.8" x14ac:dyDescent="0.3">
      <c r="A10" s="249" t="s">
        <v>9</v>
      </c>
      <c r="B10" s="154" t="s">
        <v>31</v>
      </c>
      <c r="C10" s="155">
        <v>886.31752384540846</v>
      </c>
      <c r="D10" s="156">
        <v>87.408039826963432</v>
      </c>
      <c r="E10" s="166">
        <v>87.40803982696346</v>
      </c>
      <c r="F10" s="157">
        <v>87.40803982696346</v>
      </c>
      <c r="G10" s="150"/>
    </row>
    <row r="11" spans="1:7" ht="22.8" x14ac:dyDescent="0.3">
      <c r="A11" s="250"/>
      <c r="B11" s="158" t="s">
        <v>32</v>
      </c>
      <c r="C11" s="159">
        <v>127.6824761545904</v>
      </c>
      <c r="D11" s="160">
        <v>12.59196017303654</v>
      </c>
      <c r="E11" s="160">
        <v>12.591960173036544</v>
      </c>
      <c r="F11" s="161">
        <v>100</v>
      </c>
      <c r="G11" s="150"/>
    </row>
    <row r="12" spans="1:7" x14ac:dyDescent="0.3">
      <c r="A12" s="251"/>
      <c r="B12" s="162" t="s">
        <v>14</v>
      </c>
      <c r="C12" s="163">
        <v>1013.9999999999989</v>
      </c>
      <c r="D12" s="164">
        <v>99.999999999999972</v>
      </c>
      <c r="E12" s="164">
        <v>100</v>
      </c>
      <c r="F12" s="165"/>
      <c r="G12" s="150"/>
    </row>
  </sheetData>
  <mergeCells count="6">
    <mergeCell ref="A10:A12"/>
    <mergeCell ref="A2:F2"/>
    <mergeCell ref="A3:B3"/>
    <mergeCell ref="A4:A6"/>
    <mergeCell ref="A8:F8"/>
    <mergeCell ref="A9:B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EB9D-A74B-4699-BF0A-57866E8203EE}">
  <dimension ref="A1:J42"/>
  <sheetViews>
    <sheetView zoomScale="82" zoomScaleNormal="82" workbookViewId="0">
      <selection activeCell="V25" sqref="V25"/>
    </sheetView>
  </sheetViews>
  <sheetFormatPr defaultRowHeight="14.4" x14ac:dyDescent="0.3"/>
  <cols>
    <col min="1" max="1" width="22.77734375" customWidth="1"/>
  </cols>
  <sheetData>
    <row r="1" spans="1:10" x14ac:dyDescent="0.3">
      <c r="A1" t="s">
        <v>34</v>
      </c>
    </row>
    <row r="3" spans="1:10" x14ac:dyDescent="0.3">
      <c r="A3" s="259" t="s">
        <v>42</v>
      </c>
      <c r="B3" s="259"/>
      <c r="C3" s="259"/>
      <c r="D3" s="259"/>
      <c r="E3" s="259"/>
      <c r="F3" s="102"/>
    </row>
    <row r="4" spans="1:10" x14ac:dyDescent="0.3">
      <c r="A4" s="260" t="s">
        <v>3</v>
      </c>
      <c r="B4" s="103" t="s">
        <v>36</v>
      </c>
      <c r="C4" s="104" t="s">
        <v>37</v>
      </c>
      <c r="D4" s="104" t="s">
        <v>38</v>
      </c>
      <c r="E4" s="105" t="s">
        <v>39</v>
      </c>
      <c r="F4" s="102"/>
    </row>
    <row r="5" spans="1:10" ht="35.4" customHeight="1" x14ac:dyDescent="0.3">
      <c r="A5" s="106" t="s">
        <v>40</v>
      </c>
      <c r="B5" s="107">
        <v>1010.0000000000056</v>
      </c>
      <c r="C5" s="108">
        <v>1</v>
      </c>
      <c r="D5" s="108">
        <v>4</v>
      </c>
      <c r="E5" s="113">
        <v>2.8461279194769147</v>
      </c>
      <c r="F5" s="102"/>
    </row>
    <row r="6" spans="1:10" ht="22.8" x14ac:dyDescent="0.3">
      <c r="A6" s="109" t="s">
        <v>41</v>
      </c>
      <c r="B6" s="110">
        <v>1010.0000000000056</v>
      </c>
      <c r="C6" s="111"/>
      <c r="D6" s="111"/>
      <c r="E6" s="112"/>
      <c r="F6" s="102"/>
    </row>
    <row r="8" spans="1:10" x14ac:dyDescent="0.3">
      <c r="A8" s="261" t="s">
        <v>42</v>
      </c>
      <c r="B8" s="261"/>
      <c r="C8" s="261"/>
      <c r="D8" s="261"/>
      <c r="E8" s="261"/>
      <c r="F8" s="261"/>
      <c r="G8" s="114"/>
    </row>
    <row r="9" spans="1:10" ht="24" x14ac:dyDescent="0.3">
      <c r="A9" s="262" t="s">
        <v>3</v>
      </c>
      <c r="B9" s="115" t="s">
        <v>36</v>
      </c>
      <c r="C9" s="116" t="s">
        <v>37</v>
      </c>
      <c r="D9" s="116" t="s">
        <v>38</v>
      </c>
      <c r="E9" s="116" t="s">
        <v>39</v>
      </c>
      <c r="F9" s="117" t="s">
        <v>43</v>
      </c>
      <c r="G9" s="114"/>
    </row>
    <row r="10" spans="1:10" ht="22.8" x14ac:dyDescent="0.3">
      <c r="A10" s="118" t="s">
        <v>44</v>
      </c>
      <c r="B10" s="119">
        <v>915.72562988512925</v>
      </c>
      <c r="C10" s="120">
        <v>1</v>
      </c>
      <c r="D10" s="120">
        <v>4</v>
      </c>
      <c r="E10" s="132">
        <v>3.3415152904880645</v>
      </c>
      <c r="F10" s="122">
        <v>0.82610908735682675</v>
      </c>
      <c r="G10" s="114"/>
    </row>
    <row r="11" spans="1:10" x14ac:dyDescent="0.3">
      <c r="A11" s="123" t="s">
        <v>45</v>
      </c>
      <c r="B11" s="124">
        <v>950.47813346849568</v>
      </c>
      <c r="C11" s="125">
        <v>1</v>
      </c>
      <c r="D11" s="125">
        <v>4</v>
      </c>
      <c r="E11" s="131">
        <v>3.2487070623789607</v>
      </c>
      <c r="F11" s="126">
        <v>0.80772743772455646</v>
      </c>
      <c r="G11" s="114"/>
    </row>
    <row r="12" spans="1:10" ht="22.8" x14ac:dyDescent="0.3">
      <c r="A12" s="123" t="s">
        <v>46</v>
      </c>
      <c r="B12" s="124">
        <v>897.3583233196025</v>
      </c>
      <c r="C12" s="125">
        <v>1</v>
      </c>
      <c r="D12" s="125">
        <v>4</v>
      </c>
      <c r="E12" s="131">
        <v>3.2892469299416125</v>
      </c>
      <c r="F12" s="126">
        <v>0.76575405548789399</v>
      </c>
      <c r="G12" s="114"/>
    </row>
    <row r="13" spans="1:10" x14ac:dyDescent="0.3">
      <c r="A13" s="123" t="s">
        <v>47</v>
      </c>
      <c r="B13" s="124">
        <v>880.44068406127155</v>
      </c>
      <c r="C13" s="125">
        <v>1</v>
      </c>
      <c r="D13" s="125">
        <v>4</v>
      </c>
      <c r="E13" s="131">
        <v>3.1916241855231653</v>
      </c>
      <c r="F13" s="126">
        <v>0.90390856655960139</v>
      </c>
      <c r="G13" s="114"/>
    </row>
    <row r="14" spans="1:10" ht="22.8" x14ac:dyDescent="0.3">
      <c r="A14" s="123" t="s">
        <v>48</v>
      </c>
      <c r="B14" s="124">
        <v>894.38709855866659</v>
      </c>
      <c r="C14" s="125">
        <v>1</v>
      </c>
      <c r="D14" s="125">
        <v>4</v>
      </c>
      <c r="E14" s="131">
        <v>3.1783455113443142</v>
      </c>
      <c r="F14" s="126">
        <v>0.79424232364421654</v>
      </c>
      <c r="G14" s="114"/>
      <c r="H14" t="s">
        <v>3</v>
      </c>
      <c r="I14" t="s">
        <v>66</v>
      </c>
      <c r="J14" t="s">
        <v>79</v>
      </c>
    </row>
    <row r="15" spans="1:10" x14ac:dyDescent="0.3">
      <c r="A15" s="127" t="s">
        <v>41</v>
      </c>
      <c r="B15" s="128">
        <v>755.41939233307005</v>
      </c>
      <c r="C15" s="129"/>
      <c r="D15" s="129"/>
      <c r="E15" s="129"/>
      <c r="F15" s="130"/>
      <c r="G15" s="114"/>
      <c r="H15" t="s">
        <v>78</v>
      </c>
      <c r="I15">
        <v>3.4047920379936265</v>
      </c>
      <c r="J15">
        <v>2.9386192785353851</v>
      </c>
    </row>
    <row r="16" spans="1:10" x14ac:dyDescent="0.3">
      <c r="H16" t="s">
        <v>67</v>
      </c>
      <c r="I16">
        <v>3.3437767860660923</v>
      </c>
      <c r="J16">
        <v>2.9386192785353851</v>
      </c>
    </row>
    <row r="17" spans="1:10" x14ac:dyDescent="0.3">
      <c r="A17" s="261" t="s">
        <v>52</v>
      </c>
      <c r="B17" s="261"/>
      <c r="C17" s="261"/>
      <c r="D17" s="261"/>
      <c r="E17" s="261"/>
      <c r="F17" s="261"/>
      <c r="G17" s="114"/>
      <c r="H17" t="s">
        <v>68</v>
      </c>
      <c r="I17">
        <v>3.2532112794338235</v>
      </c>
      <c r="J17">
        <v>2.9386192785353851</v>
      </c>
    </row>
    <row r="18" spans="1:10" ht="24" x14ac:dyDescent="0.3">
      <c r="A18" s="262" t="s">
        <v>3</v>
      </c>
      <c r="B18" s="115" t="s">
        <v>36</v>
      </c>
      <c r="C18" s="116" t="s">
        <v>37</v>
      </c>
      <c r="D18" s="116" t="s">
        <v>38</v>
      </c>
      <c r="E18" s="116" t="s">
        <v>39</v>
      </c>
      <c r="F18" s="117" t="s">
        <v>43</v>
      </c>
      <c r="G18" s="114"/>
      <c r="H18" t="s">
        <v>69</v>
      </c>
      <c r="I18">
        <v>3.3285000114199055</v>
      </c>
      <c r="J18">
        <v>2.93861927853539</v>
      </c>
    </row>
    <row r="19" spans="1:10" ht="22.8" x14ac:dyDescent="0.3">
      <c r="A19" s="118" t="s">
        <v>44</v>
      </c>
      <c r="B19" s="119">
        <v>939.63621695577626</v>
      </c>
      <c r="C19" s="120">
        <v>1</v>
      </c>
      <c r="D19" s="120">
        <v>4</v>
      </c>
      <c r="E19" s="132">
        <v>3.4047920379936265</v>
      </c>
      <c r="F19" s="122">
        <v>0.77644183141247092</v>
      </c>
      <c r="G19" s="114"/>
      <c r="H19" t="s">
        <v>70</v>
      </c>
      <c r="I19">
        <v>3.1312011906077686</v>
      </c>
      <c r="J19">
        <v>2.93861927853539</v>
      </c>
    </row>
    <row r="20" spans="1:10" ht="22.8" x14ac:dyDescent="0.3">
      <c r="A20" s="123" t="s">
        <v>51</v>
      </c>
      <c r="B20" s="124">
        <v>966.48930199150004</v>
      </c>
      <c r="C20" s="125">
        <v>1</v>
      </c>
      <c r="D20" s="125">
        <v>4</v>
      </c>
      <c r="E20" s="131">
        <v>3.3437767860660923</v>
      </c>
      <c r="F20" s="126">
        <v>0.76455512775290158</v>
      </c>
      <c r="G20" s="114"/>
      <c r="H20" t="s">
        <v>71</v>
      </c>
      <c r="I20">
        <v>3.2910859845395746</v>
      </c>
      <c r="J20">
        <v>2.93861927853539</v>
      </c>
    </row>
    <row r="21" spans="1:10" ht="22.8" x14ac:dyDescent="0.3">
      <c r="A21" s="123" t="s">
        <v>46</v>
      </c>
      <c r="B21" s="124">
        <v>964.95590203979236</v>
      </c>
      <c r="C21" s="125">
        <v>1</v>
      </c>
      <c r="D21" s="125">
        <v>4</v>
      </c>
      <c r="E21" s="131">
        <v>3.2532112794338235</v>
      </c>
      <c r="F21" s="126">
        <v>0.79383990210770072</v>
      </c>
      <c r="G21" s="114"/>
      <c r="H21" t="s">
        <v>72</v>
      </c>
      <c r="I21">
        <v>3.0330195174688628</v>
      </c>
      <c r="J21">
        <v>2.93861927853539</v>
      </c>
    </row>
    <row r="22" spans="1:10" x14ac:dyDescent="0.3">
      <c r="A22" s="123" t="s">
        <v>47</v>
      </c>
      <c r="B22" s="124">
        <v>943.65414206137052</v>
      </c>
      <c r="C22" s="125">
        <v>1</v>
      </c>
      <c r="D22" s="125">
        <v>4</v>
      </c>
      <c r="E22" s="131">
        <v>3.3285000114199055</v>
      </c>
      <c r="F22" s="126">
        <v>0.79945746114111027</v>
      </c>
      <c r="G22" s="114"/>
      <c r="H22" t="s">
        <v>73</v>
      </c>
      <c r="I22">
        <v>3.0509967761966061</v>
      </c>
      <c r="J22">
        <v>2.93861927853539</v>
      </c>
    </row>
    <row r="23" spans="1:10" ht="22.8" x14ac:dyDescent="0.3">
      <c r="A23" s="123" t="s">
        <v>48</v>
      </c>
      <c r="B23" s="124">
        <v>956.52290590642951</v>
      </c>
      <c r="C23" s="125">
        <v>1</v>
      </c>
      <c r="D23" s="125">
        <v>4</v>
      </c>
      <c r="E23" s="131">
        <v>3.1312011906077686</v>
      </c>
      <c r="F23" s="126">
        <v>0.84499197405346416</v>
      </c>
      <c r="G23" s="114"/>
      <c r="H23" t="s">
        <v>74</v>
      </c>
      <c r="I23">
        <v>3.1023484400299433</v>
      </c>
      <c r="J23">
        <v>2.93861927853539</v>
      </c>
    </row>
    <row r="24" spans="1:10" x14ac:dyDescent="0.3">
      <c r="A24" s="127" t="s">
        <v>41</v>
      </c>
      <c r="B24" s="128">
        <v>876.78159548725478</v>
      </c>
      <c r="C24" s="129"/>
      <c r="D24" s="129"/>
      <c r="E24" s="129"/>
      <c r="F24" s="130"/>
      <c r="G24" s="114"/>
      <c r="H24" t="s">
        <v>75</v>
      </c>
      <c r="I24">
        <v>3.0663365977309027</v>
      </c>
      <c r="J24">
        <v>2.93861927853539</v>
      </c>
    </row>
    <row r="25" spans="1:10" x14ac:dyDescent="0.3">
      <c r="H25" t="s">
        <v>76</v>
      </c>
      <c r="I25">
        <v>2.6878069791676236</v>
      </c>
      <c r="J25">
        <v>2.93861927853539</v>
      </c>
    </row>
    <row r="26" spans="1:10" x14ac:dyDescent="0.3">
      <c r="A26" s="261" t="s">
        <v>65</v>
      </c>
      <c r="B26" s="261"/>
      <c r="C26" s="261"/>
      <c r="D26" s="261"/>
      <c r="E26" s="261"/>
      <c r="F26" s="261"/>
      <c r="G26" s="114"/>
      <c r="H26" t="s">
        <v>77</v>
      </c>
      <c r="I26">
        <v>2.3985855398177094</v>
      </c>
      <c r="J26">
        <v>2.93861927853539</v>
      </c>
    </row>
    <row r="27" spans="1:10" ht="24" x14ac:dyDescent="0.3">
      <c r="A27" s="262" t="s">
        <v>3</v>
      </c>
      <c r="B27" s="115" t="s">
        <v>36</v>
      </c>
      <c r="C27" s="116" t="s">
        <v>37</v>
      </c>
      <c r="D27" s="116" t="s">
        <v>38</v>
      </c>
      <c r="E27" s="116" t="s">
        <v>39</v>
      </c>
      <c r="F27" s="117" t="s">
        <v>43</v>
      </c>
      <c r="G27" s="114"/>
      <c r="H27" t="s">
        <v>60</v>
      </c>
      <c r="I27">
        <v>2.9786482445023577</v>
      </c>
      <c r="J27">
        <v>2.93861927853539</v>
      </c>
    </row>
    <row r="28" spans="1:10" ht="34.200000000000003" x14ac:dyDescent="0.3">
      <c r="A28" s="118" t="s">
        <v>53</v>
      </c>
      <c r="B28" s="119">
        <v>984.76952115869904</v>
      </c>
      <c r="C28" s="120">
        <v>1</v>
      </c>
      <c r="D28" s="120">
        <v>4</v>
      </c>
      <c r="E28" s="132">
        <v>3.2910859845395746</v>
      </c>
      <c r="F28" s="122">
        <v>0.73339912097958171</v>
      </c>
      <c r="G28" s="114"/>
      <c r="H28" t="s">
        <v>61</v>
      </c>
      <c r="I28">
        <v>2.8228093497297242</v>
      </c>
      <c r="J28">
        <v>2.93861927853539</v>
      </c>
    </row>
    <row r="29" spans="1:10" ht="22.8" x14ac:dyDescent="0.3">
      <c r="A29" s="123" t="s">
        <v>54</v>
      </c>
      <c r="B29" s="124">
        <v>986.14045048296498</v>
      </c>
      <c r="C29" s="125">
        <v>1</v>
      </c>
      <c r="D29" s="125">
        <v>4</v>
      </c>
      <c r="E29" s="131">
        <v>3.0330195174688628</v>
      </c>
      <c r="F29" s="126">
        <v>0.79379082647983934</v>
      </c>
      <c r="G29" s="114"/>
    </row>
    <row r="30" spans="1:10" ht="34.200000000000003" x14ac:dyDescent="0.3">
      <c r="A30" s="123" t="s">
        <v>55</v>
      </c>
      <c r="B30" s="124">
        <v>988.08530646513077</v>
      </c>
      <c r="C30" s="125">
        <v>1</v>
      </c>
      <c r="D30" s="125">
        <v>4</v>
      </c>
      <c r="E30" s="131">
        <v>3.0509967761966061</v>
      </c>
      <c r="F30" s="126">
        <v>0.81562591077458213</v>
      </c>
      <c r="G30" s="114"/>
    </row>
    <row r="31" spans="1:10" ht="34.200000000000003" x14ac:dyDescent="0.3">
      <c r="A31" s="123" t="s">
        <v>56</v>
      </c>
      <c r="B31" s="124">
        <v>989.0613866203222</v>
      </c>
      <c r="C31" s="125">
        <v>1</v>
      </c>
      <c r="D31" s="125">
        <v>4</v>
      </c>
      <c r="E31" s="131">
        <v>3.1023484400299433</v>
      </c>
      <c r="F31" s="126">
        <v>0.7676581180525035</v>
      </c>
      <c r="G31" s="114"/>
    </row>
    <row r="32" spans="1:10" ht="34.200000000000003" x14ac:dyDescent="0.3">
      <c r="A32" s="123" t="s">
        <v>57</v>
      </c>
      <c r="B32" s="124">
        <v>991.09916249824505</v>
      </c>
      <c r="C32" s="125">
        <v>1</v>
      </c>
      <c r="D32" s="125">
        <v>4</v>
      </c>
      <c r="E32" s="131">
        <v>3.0663365977309027</v>
      </c>
      <c r="F32" s="126">
        <v>0.75557244143514779</v>
      </c>
      <c r="G32" s="114"/>
    </row>
    <row r="33" spans="1:7" ht="22.8" x14ac:dyDescent="0.3">
      <c r="A33" s="123" t="s">
        <v>58</v>
      </c>
      <c r="B33" s="124">
        <v>1000.3568530537017</v>
      </c>
      <c r="C33" s="125">
        <v>1</v>
      </c>
      <c r="D33" s="125">
        <v>4</v>
      </c>
      <c r="E33" s="131">
        <v>2.6878069791676236</v>
      </c>
      <c r="F33" s="126">
        <v>0.79541068116317215</v>
      </c>
      <c r="G33" s="114"/>
    </row>
    <row r="34" spans="1:7" ht="34.200000000000003" x14ac:dyDescent="0.3">
      <c r="A34" s="123" t="s">
        <v>59</v>
      </c>
      <c r="B34" s="124">
        <v>996.25749985952496</v>
      </c>
      <c r="C34" s="125">
        <v>1</v>
      </c>
      <c r="D34" s="125">
        <v>4</v>
      </c>
      <c r="E34" s="131">
        <v>2.3985855398177094</v>
      </c>
      <c r="F34" s="126">
        <v>0.81108431929318903</v>
      </c>
      <c r="G34" s="114"/>
    </row>
    <row r="35" spans="1:7" x14ac:dyDescent="0.3">
      <c r="A35" s="123" t="s">
        <v>60</v>
      </c>
      <c r="B35" s="124">
        <v>917.1424838236278</v>
      </c>
      <c r="C35" s="125">
        <v>1</v>
      </c>
      <c r="D35" s="125">
        <v>4</v>
      </c>
      <c r="E35" s="131">
        <v>2.9786482445023577</v>
      </c>
      <c r="F35" s="126">
        <v>0.8669062262860443</v>
      </c>
      <c r="G35" s="114"/>
    </row>
    <row r="36" spans="1:7" x14ac:dyDescent="0.3">
      <c r="A36" s="123" t="s">
        <v>61</v>
      </c>
      <c r="B36" s="124">
        <v>877.20778747654924</v>
      </c>
      <c r="C36" s="125">
        <v>1</v>
      </c>
      <c r="D36" s="125">
        <v>4</v>
      </c>
      <c r="E36" s="131">
        <v>2.8228093497297242</v>
      </c>
      <c r="F36" s="126">
        <v>1.0186034527861614</v>
      </c>
      <c r="G36" s="114"/>
    </row>
    <row r="37" spans="1:7" x14ac:dyDescent="0.3">
      <c r="A37" s="127" t="s">
        <v>41</v>
      </c>
      <c r="B37" s="128">
        <v>825.45489502236535</v>
      </c>
      <c r="C37" s="129"/>
      <c r="D37" s="129"/>
      <c r="E37" s="129"/>
      <c r="F37" s="130"/>
      <c r="G37" s="114"/>
    </row>
    <row r="39" spans="1:7" x14ac:dyDescent="0.3">
      <c r="A39" s="261" t="s">
        <v>35</v>
      </c>
      <c r="B39" s="261"/>
      <c r="C39" s="261"/>
      <c r="D39" s="261"/>
      <c r="E39" s="261"/>
      <c r="F39" s="261"/>
      <c r="G39" s="114"/>
    </row>
    <row r="40" spans="1:7" ht="24" x14ac:dyDescent="0.3">
      <c r="A40" s="262" t="s">
        <v>3</v>
      </c>
      <c r="B40" s="115" t="s">
        <v>36</v>
      </c>
      <c r="C40" s="116" t="s">
        <v>37</v>
      </c>
      <c r="D40" s="116" t="s">
        <v>38</v>
      </c>
      <c r="E40" s="116" t="s">
        <v>39</v>
      </c>
      <c r="F40" s="117" t="s">
        <v>43</v>
      </c>
      <c r="G40" s="114"/>
    </row>
    <row r="41" spans="1:7" ht="22.8" x14ac:dyDescent="0.3">
      <c r="A41" s="118" t="s">
        <v>40</v>
      </c>
      <c r="B41" s="119">
        <v>1007.925283696888</v>
      </c>
      <c r="C41" s="120">
        <v>1</v>
      </c>
      <c r="D41" s="120">
        <v>4</v>
      </c>
      <c r="E41" s="121">
        <v>2.9386192785353851</v>
      </c>
      <c r="F41" s="122">
        <v>0.67779137707551973</v>
      </c>
      <c r="G41" s="114"/>
    </row>
    <row r="42" spans="1:7" x14ac:dyDescent="0.3">
      <c r="A42" s="127" t="s">
        <v>41</v>
      </c>
      <c r="B42" s="128">
        <v>1007.925283696888</v>
      </c>
      <c r="C42" s="129"/>
      <c r="D42" s="129"/>
      <c r="E42" s="129"/>
      <c r="F42" s="130"/>
      <c r="G42" s="114"/>
    </row>
  </sheetData>
  <mergeCells count="10">
    <mergeCell ref="A3:E3"/>
    <mergeCell ref="A4"/>
    <mergeCell ref="A8:F8"/>
    <mergeCell ref="A9"/>
    <mergeCell ref="A40"/>
    <mergeCell ref="A17:F17"/>
    <mergeCell ref="A18"/>
    <mergeCell ref="A26:F26"/>
    <mergeCell ref="A27"/>
    <mergeCell ref="A39:F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Involvment_pressure_pre_2023</vt:lpstr>
      <vt:lpstr>rent-seeking sucept</vt:lpstr>
      <vt:lpstr>Acceptability_tolerance</vt:lpstr>
      <vt:lpstr>likelihood_of_corruption_press</vt:lpstr>
      <vt:lpstr>corruptness_of_officials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2026-04-15T11:24:45Z</dcterms:created>
  <dcterms:modified xsi:type="dcterms:W3CDTF">2026-04-17T11:34:32Z</dcterms:modified>
</cp:coreProperties>
</file>